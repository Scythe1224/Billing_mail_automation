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10.0.10.10\jeet\AdminData 25-May-2016\ReliableSoft\Rental Due\26-27\Oct-26\"/>
    </mc:Choice>
  </mc:AlternateContent>
  <xr:revisionPtr revIDLastSave="0" documentId="13_ncr:1_{A498BB6C-32DF-48AD-8525-1A82AB1FC52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pecial Conditions" sheetId="1" r:id="rId1"/>
    <sheet name="Summary" sheetId="17" r:id="rId2"/>
    <sheet name="Others Services" sheetId="39" r:id="rId3"/>
    <sheet name="OLD" sheetId="40" r:id="rId4"/>
    <sheet name="Sep-26" sheetId="41" r:id="rId5"/>
    <sheet name="OCRM Report OP Expiry Report" sheetId="5" r:id="rId6"/>
    <sheet name="OCRM Expiry Report Full" sheetId="4" r:id="rId7"/>
    <sheet name="AUTO bill ON" sheetId="6" r:id="rId8"/>
    <sheet name="Auto bill OFF" sheetId="7" r:id="rId9"/>
    <sheet name="First time Bill" sheetId="8" r:id="rId10"/>
    <sheet name="Reactivation" sheetId="9" r:id="rId11"/>
    <sheet name="Wallet &amp; Due Both" sheetId="10" r:id="rId12"/>
    <sheet name="Is Rental Off" sheetId="11" r:id="rId13"/>
  </sheets>
  <definedNames>
    <definedName name="_xlnm._FilterDatabase" localSheetId="8" hidden="1">'Auto bill OFF'!$A$1:$D$37</definedName>
    <definedName name="_xlnm._FilterDatabase" localSheetId="7" hidden="1">'AUTO bill ON'!$A$1:$D$136</definedName>
    <definedName name="_xlnm._FilterDatabase" localSheetId="6" hidden="1">'OCRM Expiry Report Full'!$A$1:$Q$150</definedName>
    <definedName name="_xlnm._FilterDatabase" localSheetId="5" hidden="1">'OCRM Report OP Expiry Report'!$A$1:$Q$137</definedName>
    <definedName name="_xlnm._FilterDatabase" localSheetId="3" hidden="1">OLD!$A$1:$X$143</definedName>
    <definedName name="_xlnm._FilterDatabase" localSheetId="4" hidden="1">'Sep-26'!$A$1:$X$139</definedName>
    <definedName name="ADN">'Special Conditions'!$C$3</definedName>
    <definedName name="Z_7595FEC4_A35A_45A8_ABFF_30CA7F2E3DDB_.wvu.FilterData" localSheetId="7" hidden="1">'AUTO bill ON'!$A$1:$D$158</definedName>
    <definedName name="Z_7595FEC4_A35A_45A8_ABFF_30CA7F2E3DDB_.wvu.FilterData" localSheetId="6" hidden="1">'OCRM Expiry Report Full'!$A$1:$F$159</definedName>
    <definedName name="Z_7595FEC4_A35A_45A8_ABFF_30CA7F2E3DDB_.wvu.FilterData" localSheetId="5" hidden="1">'OCRM Report OP Expiry Report'!$R$2:$R$126</definedName>
    <definedName name="Z_A1637ED3_F38C_4E77_A8BB_011227AA9694_.wvu.FilterData" localSheetId="7" hidden="1">'AUTO bill ON'!$A$1:$D$154</definedName>
    <definedName name="Z_A1637ED3_F38C_4E77_A8BB_011227AA9694_.wvu.FilterData" localSheetId="6" hidden="1">'OCRM Expiry Report Full'!$A$154:$F$154</definedName>
    <definedName name="Z_A1637ED3_F38C_4E77_A8BB_011227AA9694_.wvu.FilterData" localSheetId="5" hidden="1">'OCRM Expiry Report Full'!$A$1:$Q$142</definedName>
    <definedName name="Z_B578103E_327A_4E76_AD33_0ADD9829657C_.wvu.FilterData" localSheetId="7" hidden="1">'AUTO bill ON'!$A$1:$D$1</definedName>
    <definedName name="Z_B578103E_327A_4E76_AD33_0ADD9829657C_.wvu.FilterData" localSheetId="6" hidden="1">'OCRM Expiry Report Full'!#REF!</definedName>
    <definedName name="Z_B578103E_327A_4E76_AD33_0ADD9829657C_.wvu.FilterData" localSheetId="5" hidden="1">'OCRM Report OP Expiry Report'!$R$1:$R$1</definedName>
    <definedName name="Z_C5352930_F296_4056_ADED_A54F12C72A5E_.wvu.FilterData" localSheetId="7" hidden="1">'AUTO bill ON'!$A$1:$D$153</definedName>
    <definedName name="Z_C5352930_F296_4056_ADED_A54F12C72A5E_.wvu.FilterData" localSheetId="6" hidden="1">'OCRM Expiry Report Full'!#REF!</definedName>
    <definedName name="Z_C5352930_F296_4056_ADED_A54F12C72A5E_.wvu.FilterData" localSheetId="5" hidden="1">'OCRM Expiry Report Full'!$A$1:$Q$142</definedName>
    <definedName name="Z_D0696375_DBB5_4809_BC60_44F8F56B2779_.wvu.FilterData" localSheetId="7" hidden="1">'AUTO bill ON'!#REF!</definedName>
    <definedName name="Z_D0696375_DBB5_4809_BC60_44F8F56B2779_.wvu.FilterData" localSheetId="6" hidden="1">'OCRM Expiry Report Full'!#REF!</definedName>
    <definedName name="Z_D0696375_DBB5_4809_BC60_44F8F56B2779_.wvu.FilterData" localSheetId="5" hidden="1">'OCRM Report OP Expiry Report'!#REF!</definedName>
    <definedName name="Z_D2E21015_49B6_4DCD_8903_2A33CC51A6BC_.wvu.FilterData" localSheetId="7" hidden="1">'AUTO bill ON'!#REF!</definedName>
    <definedName name="Z_D2E21015_49B6_4DCD_8903_2A33CC51A6BC_.wvu.FilterData" localSheetId="6" hidden="1">'OCRM Expiry Report Full'!#REF!</definedName>
    <definedName name="Z_D2E21015_49B6_4DCD_8903_2A33CC51A6BC_.wvu.FilterData" localSheetId="5" hidden="1">'OCRM Report OP Expiry Report'!#REF!</definedName>
    <definedName name="Z_D4E624F4_8690_493F_875F_508F53C873EF_.wvu.FilterData" localSheetId="7" hidden="1">'AUTO bill ON'!#REF!</definedName>
    <definedName name="Z_D4E624F4_8690_493F_875F_508F53C873EF_.wvu.FilterData" localSheetId="6" hidden="1">'OCRM Expiry Report Full'!#REF!</definedName>
    <definedName name="Z_EDF2F6B2_21F7_4895_9F69_CDF26867E73E_.wvu.FilterData" localSheetId="7" hidden="1">'AUTO bill ON'!#REF!</definedName>
    <definedName name="Z_EDF2F6B2_21F7_4895_9F69_CDF26867E73E_.wvu.FilterData" localSheetId="6" hidden="1">'OCRM Expiry Report Full'!#REF!</definedName>
  </definedNames>
  <calcPr calcId="191029" iterateDelta="1E-4"/>
  <customWorkbookViews>
    <customWorkbookView name="Vivek Laduwal - Personal View" guid="{A1637ED3-F38C-4E77-A8BB-011227AA9694}" mergeInterval="0" personalView="1" maximized="1" xWindow="-8" yWindow="-8" windowWidth="1616" windowHeight="876" activeSheetId="2"/>
    <customWorkbookView name="Nikhil Sharma - Personal View" guid="{B578103E-327A-4E76-AD33-0ADD9829657C}" mergeInterval="0" personalView="1" maximized="1" xWindow="-8" yWindow="-8" windowWidth="1616" windowHeight="876" activeSheetId="1"/>
    <customWorkbookView name="Ak - Personal View" guid="{D2E21015-49B6-4DCD-8903-2A33CC51A6BC}" mergeInterval="0" personalView="1" maximized="1" xWindow="-8" yWindow="-8" windowWidth="1616" windowHeight="916" activeSheetId="1"/>
    <customWorkbookView name="Pooja Seth - Personal View" guid="{EDF2F6B2-21F7-4895-9F69-CDF26867E73E}" mergeInterval="0" personalView="1" maximized="1" xWindow="-8" yWindow="-8" windowWidth="1616" windowHeight="876" activeSheetId="1"/>
    <customWorkbookView name="Windows User - Personal View" guid="{D4E624F4-8690-493F-875F-508F53C873EF}" mergeInterval="0" personalView="1" maximized="1" xWindow="-8" yWindow="-8" windowWidth="1616" windowHeight="876" activeSheetId="1"/>
    <customWorkbookView name="Bhanupratap Ramdev - Personal View" guid="{D0696375-DBB5-4809-BC60-44F8F56B2779}" mergeInterval="0" personalView="1" maximized="1" xWindow="-8" yWindow="-8" windowWidth="1616" windowHeight="916" activeSheetId="1"/>
    <customWorkbookView name="Jeet Balani - Personal View" guid="{C5352930-F296-4056-ADED-A54F12C72A5E}" mergeInterval="0" personalView="1" maximized="1" xWindow="-8" yWindow="-8" windowWidth="1382" windowHeight="744" activeSheetId="3"/>
    <customWorkbookView name="Akshay jangid - Personal View" guid="{7595FEC4-A35A-45A8-ABFF-30CA7F2E3DDB}" mergeInterval="0" personalView="1" maximized="1" xWindow="54" yWindow="-8" windowWidth="1320" windowHeight="784" activeSheetId="3"/>
  </customWorkbookViews>
  <pivotCaches>
    <pivotCache cacheId="0" r:id="rId14"/>
    <pivotCache cacheId="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9" i="41" l="1"/>
  <c r="O139" i="41" s="1"/>
  <c r="M143" i="40"/>
  <c r="O143" i="40" s="1"/>
  <c r="M138" i="41"/>
  <c r="O138" i="41" s="1"/>
  <c r="M118" i="41"/>
  <c r="M117" i="41"/>
  <c r="M113" i="41"/>
  <c r="M137" i="41"/>
  <c r="O137" i="41" s="1"/>
  <c r="I9" i="17"/>
  <c r="P139" i="41" l="1"/>
  <c r="Q139" i="41" s="1"/>
  <c r="S139" i="41" s="1"/>
  <c r="P143" i="40"/>
  <c r="Q143" i="40"/>
  <c r="S143" i="40" s="1"/>
  <c r="P138" i="41"/>
  <c r="Q138" i="41" s="1"/>
  <c r="S138" i="41" s="1"/>
  <c r="P137" i="41"/>
  <c r="Q137" i="41" s="1"/>
  <c r="S137" i="41" s="1"/>
  <c r="W139" i="41" l="1"/>
  <c r="U139" i="41"/>
  <c r="W143" i="40"/>
  <c r="U143" i="40"/>
  <c r="W138" i="41"/>
  <c r="U138" i="41"/>
  <c r="W137" i="41"/>
  <c r="U137" i="41"/>
  <c r="M3" i="41" l="1"/>
  <c r="O3" i="41" s="1"/>
  <c r="P3" i="41" s="1"/>
  <c r="M4" i="41"/>
  <c r="O4" i="41" s="1"/>
  <c r="M5" i="41"/>
  <c r="O5" i="41" s="1"/>
  <c r="M6" i="41"/>
  <c r="O6" i="41" s="1"/>
  <c r="M7" i="41"/>
  <c r="O7" i="41" s="1"/>
  <c r="P7" i="41" s="1"/>
  <c r="M8" i="41"/>
  <c r="O8" i="41" s="1"/>
  <c r="M9" i="41"/>
  <c r="O9" i="41" s="1"/>
  <c r="M10" i="41"/>
  <c r="O10" i="41" s="1"/>
  <c r="M11" i="41"/>
  <c r="O11" i="41" s="1"/>
  <c r="M12" i="41"/>
  <c r="O12" i="41" s="1"/>
  <c r="M13" i="41"/>
  <c r="O13" i="41" s="1"/>
  <c r="M14" i="41"/>
  <c r="O14" i="41" s="1"/>
  <c r="M15" i="41"/>
  <c r="O15" i="41" s="1"/>
  <c r="M16" i="41"/>
  <c r="O16" i="41" s="1"/>
  <c r="M17" i="41"/>
  <c r="O17" i="41" s="1"/>
  <c r="M18" i="41"/>
  <c r="O18" i="41" s="1"/>
  <c r="M19" i="41"/>
  <c r="O19" i="41" s="1"/>
  <c r="M20" i="41"/>
  <c r="O20" i="41" s="1"/>
  <c r="M21" i="41"/>
  <c r="O21" i="41" s="1"/>
  <c r="M22" i="41"/>
  <c r="O22" i="41" s="1"/>
  <c r="M23" i="41"/>
  <c r="O23" i="41" s="1"/>
  <c r="P23" i="41" s="1"/>
  <c r="M24" i="41"/>
  <c r="O24" i="41" s="1"/>
  <c r="M25" i="41"/>
  <c r="O25" i="41" s="1"/>
  <c r="M26" i="41"/>
  <c r="O26" i="41" s="1"/>
  <c r="M27" i="41"/>
  <c r="O27" i="41" s="1"/>
  <c r="P27" i="41" s="1"/>
  <c r="M28" i="41"/>
  <c r="O28" i="41" s="1"/>
  <c r="M29" i="41"/>
  <c r="O29" i="41" s="1"/>
  <c r="M30" i="41"/>
  <c r="O30" i="41" s="1"/>
  <c r="M31" i="41"/>
  <c r="O31" i="41" s="1"/>
  <c r="M32" i="41"/>
  <c r="O32" i="41" s="1"/>
  <c r="M33" i="41"/>
  <c r="O33" i="41" s="1"/>
  <c r="M34" i="41"/>
  <c r="O34" i="41" s="1"/>
  <c r="M35" i="41"/>
  <c r="O35" i="41" s="1"/>
  <c r="P35" i="41" s="1"/>
  <c r="M36" i="41"/>
  <c r="O36" i="41" s="1"/>
  <c r="M37" i="41"/>
  <c r="O37" i="41" s="1"/>
  <c r="M38" i="41"/>
  <c r="O38" i="41" s="1"/>
  <c r="M39" i="41"/>
  <c r="O39" i="41" s="1"/>
  <c r="P39" i="41" s="1"/>
  <c r="M40" i="41"/>
  <c r="O40" i="41" s="1"/>
  <c r="M41" i="41"/>
  <c r="O41" i="41" s="1"/>
  <c r="P41" i="41" s="1"/>
  <c r="M42" i="41"/>
  <c r="O42" i="41" s="1"/>
  <c r="M43" i="41"/>
  <c r="O43" i="41" s="1"/>
  <c r="M44" i="41"/>
  <c r="O44" i="41" s="1"/>
  <c r="M45" i="41"/>
  <c r="O45" i="41" s="1"/>
  <c r="M46" i="41"/>
  <c r="O46" i="41" s="1"/>
  <c r="M47" i="41"/>
  <c r="O47" i="41" s="1"/>
  <c r="M48" i="41"/>
  <c r="O48" i="41" s="1"/>
  <c r="M49" i="41"/>
  <c r="O49" i="41" s="1"/>
  <c r="M50" i="41"/>
  <c r="O50" i="41" s="1"/>
  <c r="M51" i="41"/>
  <c r="O51" i="41" s="1"/>
  <c r="M52" i="41"/>
  <c r="O52" i="41" s="1"/>
  <c r="P52" i="41" s="1"/>
  <c r="M53" i="41"/>
  <c r="O53" i="41" s="1"/>
  <c r="M54" i="41"/>
  <c r="O54" i="41" s="1"/>
  <c r="M55" i="41"/>
  <c r="O55" i="41" s="1"/>
  <c r="P55" i="41" s="1"/>
  <c r="M56" i="41"/>
  <c r="O56" i="41" s="1"/>
  <c r="M57" i="41"/>
  <c r="O57" i="41" s="1"/>
  <c r="P57" i="41" s="1"/>
  <c r="M58" i="41"/>
  <c r="O58" i="41" s="1"/>
  <c r="M59" i="41"/>
  <c r="O59" i="41" s="1"/>
  <c r="P59" i="41" s="1"/>
  <c r="M60" i="41"/>
  <c r="O60" i="41" s="1"/>
  <c r="M61" i="41"/>
  <c r="O61" i="41" s="1"/>
  <c r="M62" i="41"/>
  <c r="O62" i="41" s="1"/>
  <c r="M63" i="41"/>
  <c r="O63" i="41" s="1"/>
  <c r="M64" i="41"/>
  <c r="O64" i="41" s="1"/>
  <c r="M65" i="41"/>
  <c r="O65" i="41" s="1"/>
  <c r="M66" i="41"/>
  <c r="O66" i="41" s="1"/>
  <c r="M67" i="41"/>
  <c r="O67" i="41" s="1"/>
  <c r="M68" i="41"/>
  <c r="O68" i="41" s="1"/>
  <c r="P68" i="41" s="1"/>
  <c r="M69" i="41"/>
  <c r="O69" i="41" s="1"/>
  <c r="M70" i="41"/>
  <c r="O70" i="41" s="1"/>
  <c r="M71" i="41"/>
  <c r="O71" i="41" s="1"/>
  <c r="P71" i="41" s="1"/>
  <c r="M72" i="41"/>
  <c r="O72" i="41" s="1"/>
  <c r="M73" i="41"/>
  <c r="O73" i="41" s="1"/>
  <c r="P73" i="41" s="1"/>
  <c r="M74" i="41"/>
  <c r="O74" i="41" s="1"/>
  <c r="M75" i="41"/>
  <c r="O75" i="41" s="1"/>
  <c r="M76" i="41"/>
  <c r="O76" i="41" s="1"/>
  <c r="M77" i="41"/>
  <c r="O77" i="41" s="1"/>
  <c r="M78" i="41"/>
  <c r="O78" i="41" s="1"/>
  <c r="M79" i="41"/>
  <c r="O79" i="41" s="1"/>
  <c r="M80" i="41"/>
  <c r="O80" i="41" s="1"/>
  <c r="M81" i="41"/>
  <c r="O81" i="41" s="1"/>
  <c r="M82" i="41"/>
  <c r="O82" i="41" s="1"/>
  <c r="M83" i="41"/>
  <c r="O83" i="41" s="1"/>
  <c r="M84" i="41"/>
  <c r="O84" i="41" s="1"/>
  <c r="P84" i="41" s="1"/>
  <c r="M85" i="41"/>
  <c r="O85" i="41" s="1"/>
  <c r="M86" i="41"/>
  <c r="O86" i="41" s="1"/>
  <c r="M87" i="41"/>
  <c r="O87" i="41" s="1"/>
  <c r="M88" i="41"/>
  <c r="O88" i="41" s="1"/>
  <c r="M89" i="41"/>
  <c r="O89" i="41" s="1"/>
  <c r="P89" i="41" s="1"/>
  <c r="M90" i="41"/>
  <c r="O90" i="41" s="1"/>
  <c r="M91" i="41"/>
  <c r="O91" i="41" s="1"/>
  <c r="P91" i="41" s="1"/>
  <c r="M92" i="41"/>
  <c r="O92" i="41" s="1"/>
  <c r="M93" i="41"/>
  <c r="O93" i="41" s="1"/>
  <c r="M94" i="41"/>
  <c r="O94" i="41" s="1"/>
  <c r="M95" i="41"/>
  <c r="O95" i="41" s="1"/>
  <c r="M96" i="41"/>
  <c r="O96" i="41" s="1"/>
  <c r="M97" i="41"/>
  <c r="O97" i="41" s="1"/>
  <c r="P97" i="41" s="1"/>
  <c r="M98" i="41"/>
  <c r="O98" i="41" s="1"/>
  <c r="M99" i="41"/>
  <c r="O99" i="41" s="1"/>
  <c r="P99" i="41" s="1"/>
  <c r="M100" i="41"/>
  <c r="O100" i="41" s="1"/>
  <c r="M101" i="41"/>
  <c r="O101" i="41" s="1"/>
  <c r="M102" i="41"/>
  <c r="O102" i="41" s="1"/>
  <c r="M103" i="41"/>
  <c r="O103" i="41" s="1"/>
  <c r="P103" i="41" s="1"/>
  <c r="M104" i="41"/>
  <c r="O104" i="41" s="1"/>
  <c r="M105" i="41"/>
  <c r="O105" i="41" s="1"/>
  <c r="P105" i="41" s="1"/>
  <c r="M106" i="41"/>
  <c r="O106" i="41" s="1"/>
  <c r="M107" i="41"/>
  <c r="O107" i="41" s="1"/>
  <c r="M108" i="41"/>
  <c r="O108" i="41" s="1"/>
  <c r="M109" i="41"/>
  <c r="O109" i="41" s="1"/>
  <c r="M110" i="41"/>
  <c r="O110" i="41" s="1"/>
  <c r="M111" i="41"/>
  <c r="O111" i="41" s="1"/>
  <c r="P111" i="41" s="1"/>
  <c r="M112" i="41"/>
  <c r="O112" i="41" s="1"/>
  <c r="O113" i="41"/>
  <c r="P113" i="41" s="1"/>
  <c r="M114" i="41"/>
  <c r="O114" i="41" s="1"/>
  <c r="M115" i="41"/>
  <c r="O115" i="41" s="1"/>
  <c r="P115" i="41" s="1"/>
  <c r="M116" i="41"/>
  <c r="O116" i="41" s="1"/>
  <c r="O117" i="41"/>
  <c r="O118" i="41"/>
  <c r="M119" i="41"/>
  <c r="O119" i="41" s="1"/>
  <c r="M120" i="41"/>
  <c r="O120" i="41" s="1"/>
  <c r="M121" i="41"/>
  <c r="O121" i="41" s="1"/>
  <c r="P121" i="41" s="1"/>
  <c r="M122" i="41"/>
  <c r="O122" i="41" s="1"/>
  <c r="M123" i="41"/>
  <c r="O123" i="41" s="1"/>
  <c r="M124" i="41"/>
  <c r="O124" i="41" s="1"/>
  <c r="M125" i="41"/>
  <c r="O125" i="41" s="1"/>
  <c r="M126" i="41"/>
  <c r="O126" i="41" s="1"/>
  <c r="M127" i="41"/>
  <c r="O127" i="41" s="1"/>
  <c r="M128" i="41"/>
  <c r="O128" i="41" s="1"/>
  <c r="M129" i="41"/>
  <c r="O129" i="41" s="1"/>
  <c r="M130" i="41"/>
  <c r="O130" i="41" s="1"/>
  <c r="M131" i="41"/>
  <c r="O131" i="41" s="1"/>
  <c r="M132" i="41"/>
  <c r="O132" i="41" s="1"/>
  <c r="M133" i="41"/>
  <c r="O133" i="41" s="1"/>
  <c r="M134" i="41"/>
  <c r="O134" i="41" s="1"/>
  <c r="P134" i="41" s="1"/>
  <c r="M135" i="41"/>
  <c r="O135" i="41" s="1"/>
  <c r="M136" i="41"/>
  <c r="O136" i="41" s="1"/>
  <c r="P136" i="41" s="1"/>
  <c r="M2" i="41"/>
  <c r="O2" i="41" s="1"/>
  <c r="M41" i="40"/>
  <c r="Q57" i="41" l="1"/>
  <c r="S57" i="41" s="1"/>
  <c r="W57" i="41" s="1"/>
  <c r="P133" i="41"/>
  <c r="Q133" i="41" s="1"/>
  <c r="S133" i="41" s="1"/>
  <c r="P129" i="41"/>
  <c r="Q129" i="41" s="1"/>
  <c r="S129" i="41" s="1"/>
  <c r="P126" i="41"/>
  <c r="Q126" i="41" s="1"/>
  <c r="S126" i="41" s="1"/>
  <c r="P122" i="41"/>
  <c r="Q122" i="41" s="1"/>
  <c r="S122" i="41" s="1"/>
  <c r="P114" i="41"/>
  <c r="Q114" i="41" s="1"/>
  <c r="S114" i="41" s="1"/>
  <c r="P110" i="41"/>
  <c r="Q110" i="41" s="1"/>
  <c r="S110" i="41" s="1"/>
  <c r="P106" i="41"/>
  <c r="Q106" i="41" s="1"/>
  <c r="S106" i="41" s="1"/>
  <c r="P102" i="41"/>
  <c r="Q102" i="41" s="1"/>
  <c r="S102" i="41" s="1"/>
  <c r="P98" i="41"/>
  <c r="Q98" i="41" s="1"/>
  <c r="S98" i="41" s="1"/>
  <c r="P94" i="41"/>
  <c r="Q94" i="41" s="1"/>
  <c r="S94" i="41" s="1"/>
  <c r="P86" i="41"/>
  <c r="Q86" i="41" s="1"/>
  <c r="S86" i="41" s="1"/>
  <c r="P82" i="41"/>
  <c r="Q82" i="41" s="1"/>
  <c r="S82" i="41" s="1"/>
  <c r="P78" i="41"/>
  <c r="Q78" i="41" s="1"/>
  <c r="S78" i="41" s="1"/>
  <c r="P74" i="41"/>
  <c r="Q74" i="41" s="1"/>
  <c r="S74" i="41" s="1"/>
  <c r="P70" i="41"/>
  <c r="Q70" i="41" s="1"/>
  <c r="S70" i="41" s="1"/>
  <c r="P66" i="41"/>
  <c r="Q66" i="41" s="1"/>
  <c r="S66" i="41" s="1"/>
  <c r="P62" i="41"/>
  <c r="Q62" i="41" s="1"/>
  <c r="S62" i="41" s="1"/>
  <c r="P58" i="41"/>
  <c r="Q58" i="41" s="1"/>
  <c r="S58" i="41" s="1"/>
  <c r="P54" i="41"/>
  <c r="Q54" i="41" s="1"/>
  <c r="S54" i="41" s="1"/>
  <c r="P50" i="41"/>
  <c r="Q50" i="41" s="1"/>
  <c r="S50" i="41" s="1"/>
  <c r="P46" i="41"/>
  <c r="Q46" i="41" s="1"/>
  <c r="S46" i="41" s="1"/>
  <c r="P42" i="41"/>
  <c r="Q42" i="41" s="1"/>
  <c r="S42" i="41" s="1"/>
  <c r="P38" i="41"/>
  <c r="Q38" i="41" s="1"/>
  <c r="S38" i="41" s="1"/>
  <c r="P34" i="41"/>
  <c r="Q34" i="41" s="1"/>
  <c r="S34" i="41" s="1"/>
  <c r="P30" i="41"/>
  <c r="Q30" i="41" s="1"/>
  <c r="S30" i="41" s="1"/>
  <c r="P26" i="41"/>
  <c r="Q26" i="41" s="1"/>
  <c r="S26" i="41" s="1"/>
  <c r="P22" i="41"/>
  <c r="Q22" i="41" s="1"/>
  <c r="S22" i="41" s="1"/>
  <c r="P18" i="41"/>
  <c r="Q18" i="41" s="1"/>
  <c r="S18" i="41" s="1"/>
  <c r="P14" i="41"/>
  <c r="Q14" i="41" s="1"/>
  <c r="S14" i="41" s="1"/>
  <c r="P10" i="41"/>
  <c r="Q10" i="41" s="1"/>
  <c r="S10" i="41" s="1"/>
  <c r="P6" i="41"/>
  <c r="Q6" i="41" s="1"/>
  <c r="S6" i="41" s="1"/>
  <c r="P135" i="41"/>
  <c r="Q135" i="41" s="1"/>
  <c r="S135" i="41" s="1"/>
  <c r="P128" i="41"/>
  <c r="Q128" i="41" s="1"/>
  <c r="S128" i="41" s="1"/>
  <c r="P120" i="41"/>
  <c r="Q120" i="41" s="1"/>
  <c r="S120" i="41" s="1"/>
  <c r="P112" i="41"/>
  <c r="Q112" i="41" s="1"/>
  <c r="S112" i="41" s="1"/>
  <c r="P104" i="41"/>
  <c r="Q104" i="41" s="1"/>
  <c r="S104" i="41" s="1"/>
  <c r="P96" i="41"/>
  <c r="Q96" i="41" s="1"/>
  <c r="S96" i="41" s="1"/>
  <c r="P88" i="41"/>
  <c r="Q88" i="41" s="1"/>
  <c r="S88" i="41" s="1"/>
  <c r="P80" i="41"/>
  <c r="Q80" i="41" s="1"/>
  <c r="S80" i="41" s="1"/>
  <c r="P72" i="41"/>
  <c r="Q72" i="41" s="1"/>
  <c r="S72" i="41" s="1"/>
  <c r="P64" i="41"/>
  <c r="Q64" i="41" s="1"/>
  <c r="S64" i="41" s="1"/>
  <c r="P56" i="41"/>
  <c r="Q56" i="41" s="1"/>
  <c r="S56" i="41" s="1"/>
  <c r="P48" i="41"/>
  <c r="Q48" i="41" s="1"/>
  <c r="S48" i="41" s="1"/>
  <c r="P40" i="41"/>
  <c r="Q40" i="41" s="1"/>
  <c r="S40" i="41" s="1"/>
  <c r="P32" i="41"/>
  <c r="Q32" i="41" s="1"/>
  <c r="S32" i="41" s="1"/>
  <c r="P24" i="41"/>
  <c r="Q24" i="41" s="1"/>
  <c r="S24" i="41" s="1"/>
  <c r="P16" i="41"/>
  <c r="Q16" i="41" s="1"/>
  <c r="S16" i="41" s="1"/>
  <c r="P8" i="41"/>
  <c r="Q8" i="41" s="1"/>
  <c r="S8" i="41" s="1"/>
  <c r="P90" i="41"/>
  <c r="Q90" i="41" s="1"/>
  <c r="S90" i="41" s="1"/>
  <c r="P118" i="41"/>
  <c r="Q118" i="41" s="1"/>
  <c r="S118" i="41" s="1"/>
  <c r="P131" i="41"/>
  <c r="Q131" i="41" s="1"/>
  <c r="S131" i="41" s="1"/>
  <c r="P108" i="41"/>
  <c r="Q108" i="41" s="1"/>
  <c r="S108" i="41" s="1"/>
  <c r="P92" i="41"/>
  <c r="Q92" i="41" s="1"/>
  <c r="S92" i="41" s="1"/>
  <c r="P76" i="41"/>
  <c r="Q76" i="41" s="1"/>
  <c r="S76" i="41" s="1"/>
  <c r="P60" i="41"/>
  <c r="Q60" i="41" s="1"/>
  <c r="S60" i="41" s="1"/>
  <c r="P44" i="41"/>
  <c r="Q44" i="41" s="1"/>
  <c r="S44" i="41" s="1"/>
  <c r="P28" i="41"/>
  <c r="Q28" i="41" s="1"/>
  <c r="S28" i="41" s="1"/>
  <c r="P12" i="41"/>
  <c r="Q12" i="41" s="1"/>
  <c r="S12" i="41" s="1"/>
  <c r="P130" i="41"/>
  <c r="Q130" i="41" s="1"/>
  <c r="S130" i="41" s="1"/>
  <c r="P87" i="41"/>
  <c r="Q87" i="41" s="1"/>
  <c r="S87" i="41" s="1"/>
  <c r="Q73" i="41"/>
  <c r="S73" i="41" s="1"/>
  <c r="Q52" i="41"/>
  <c r="S52" i="41" s="1"/>
  <c r="Q115" i="41"/>
  <c r="S115" i="41" s="1"/>
  <c r="Q99" i="41"/>
  <c r="S99" i="41" s="1"/>
  <c r="Q55" i="41"/>
  <c r="S55" i="41" s="1"/>
  <c r="Q39" i="41"/>
  <c r="S39" i="41" s="1"/>
  <c r="Q23" i="41"/>
  <c r="S23" i="41" s="1"/>
  <c r="Q7" i="41"/>
  <c r="S7" i="41" s="1"/>
  <c r="P124" i="41"/>
  <c r="Q124" i="41" s="1"/>
  <c r="S124" i="41" s="1"/>
  <c r="P36" i="41"/>
  <c r="Q36" i="41" s="1"/>
  <c r="S36" i="41" s="1"/>
  <c r="P43" i="41"/>
  <c r="Q43" i="41" s="1"/>
  <c r="S43" i="41" s="1"/>
  <c r="Q136" i="41"/>
  <c r="S136" i="41" s="1"/>
  <c r="P85" i="41"/>
  <c r="Q85" i="41" s="1"/>
  <c r="S85" i="41" s="1"/>
  <c r="P81" i="41"/>
  <c r="Q81" i="41" s="1"/>
  <c r="S81" i="41" s="1"/>
  <c r="P65" i="41"/>
  <c r="Q65" i="41" s="1"/>
  <c r="S65" i="41" s="1"/>
  <c r="P61" i="41"/>
  <c r="Q61" i="41" s="1"/>
  <c r="S61" i="41" s="1"/>
  <c r="P53" i="41"/>
  <c r="Q53" i="41" s="1"/>
  <c r="S53" i="41" s="1"/>
  <c r="P49" i="41"/>
  <c r="Q49" i="41" s="1"/>
  <c r="S49" i="41" s="1"/>
  <c r="P45" i="41"/>
  <c r="Q45" i="41" s="1"/>
  <c r="S45" i="41" s="1"/>
  <c r="P37" i="41"/>
  <c r="Q37" i="41" s="1"/>
  <c r="S37" i="41" s="1"/>
  <c r="P33" i="41"/>
  <c r="Q33" i="41" s="1"/>
  <c r="S33" i="41" s="1"/>
  <c r="P29" i="41"/>
  <c r="Q29" i="41" s="1"/>
  <c r="S29" i="41" s="1"/>
  <c r="P25" i="41"/>
  <c r="Q25" i="41" s="1"/>
  <c r="S25" i="41" s="1"/>
  <c r="P21" i="41"/>
  <c r="Q21" i="41" s="1"/>
  <c r="S21" i="41" s="1"/>
  <c r="P17" i="41"/>
  <c r="Q17" i="41" s="1"/>
  <c r="S17" i="41" s="1"/>
  <c r="P13" i="41"/>
  <c r="Q13" i="41" s="1"/>
  <c r="S13" i="41" s="1"/>
  <c r="P9" i="41"/>
  <c r="Q9" i="41" s="1"/>
  <c r="S9" i="41" s="1"/>
  <c r="P5" i="41"/>
  <c r="Q5" i="41" s="1"/>
  <c r="S5" i="41" s="1"/>
  <c r="P127" i="41"/>
  <c r="Q127" i="41" s="1"/>
  <c r="S127" i="41" s="1"/>
  <c r="P119" i="41"/>
  <c r="Q119" i="41" s="1"/>
  <c r="S119" i="41" s="1"/>
  <c r="P95" i="41"/>
  <c r="Q95" i="41" s="1"/>
  <c r="S95" i="41" s="1"/>
  <c r="P83" i="41"/>
  <c r="Q83" i="41" s="1"/>
  <c r="S83" i="41" s="1"/>
  <c r="P67" i="41"/>
  <c r="Q67" i="41" s="1"/>
  <c r="S67" i="41" s="1"/>
  <c r="P51" i="41"/>
  <c r="Q51" i="41" s="1"/>
  <c r="S51" i="41" s="1"/>
  <c r="P19" i="41"/>
  <c r="Q19" i="41" s="1"/>
  <c r="S19" i="41" s="1"/>
  <c r="Q89" i="41"/>
  <c r="S89" i="41" s="1"/>
  <c r="Q68" i="41"/>
  <c r="S68" i="41" s="1"/>
  <c r="Q134" i="41"/>
  <c r="S134" i="41" s="1"/>
  <c r="Q111" i="41"/>
  <c r="S111" i="41" s="1"/>
  <c r="Q103" i="41"/>
  <c r="S103" i="41" s="1"/>
  <c r="Q91" i="41"/>
  <c r="S91" i="41" s="1"/>
  <c r="Q71" i="41"/>
  <c r="S71" i="41" s="1"/>
  <c r="Q59" i="41"/>
  <c r="S59" i="41" s="1"/>
  <c r="Q35" i="41"/>
  <c r="S35" i="41" s="1"/>
  <c r="Q27" i="41"/>
  <c r="S27" i="41" s="1"/>
  <c r="Q3" i="41"/>
  <c r="S3" i="41" s="1"/>
  <c r="P116" i="41"/>
  <c r="Q116" i="41" s="1"/>
  <c r="S116" i="41" s="1"/>
  <c r="P100" i="41"/>
  <c r="Q100" i="41" s="1"/>
  <c r="S100" i="41" s="1"/>
  <c r="P20" i="41"/>
  <c r="Q20" i="41" s="1"/>
  <c r="S20" i="41" s="1"/>
  <c r="P4" i="41"/>
  <c r="Q4" i="41" s="1"/>
  <c r="S4" i="41" s="1"/>
  <c r="P123" i="41"/>
  <c r="Q123" i="41" s="1"/>
  <c r="S123" i="41" s="1"/>
  <c r="P107" i="41"/>
  <c r="Q107" i="41" s="1"/>
  <c r="S107" i="41" s="1"/>
  <c r="P75" i="41"/>
  <c r="Q75" i="41" s="1"/>
  <c r="S75" i="41" s="1"/>
  <c r="P11" i="41"/>
  <c r="Q11" i="41" s="1"/>
  <c r="S11" i="41" s="1"/>
  <c r="Q121" i="41"/>
  <c r="S121" i="41" s="1"/>
  <c r="Q113" i="41"/>
  <c r="S113" i="41" s="1"/>
  <c r="Q105" i="41"/>
  <c r="S105" i="41" s="1"/>
  <c r="Q97" i="41"/>
  <c r="S97" i="41" s="1"/>
  <c r="P77" i="41"/>
  <c r="Q77" i="41" s="1"/>
  <c r="S77" i="41" s="1"/>
  <c r="P69" i="41"/>
  <c r="Q69" i="41" s="1"/>
  <c r="S69" i="41" s="1"/>
  <c r="P132" i="41"/>
  <c r="Q132" i="41" s="1"/>
  <c r="S132" i="41" s="1"/>
  <c r="P125" i="41"/>
  <c r="Q125" i="41" s="1"/>
  <c r="S125" i="41" s="1"/>
  <c r="P117" i="41"/>
  <c r="Q117" i="41" s="1"/>
  <c r="S117" i="41" s="1"/>
  <c r="P109" i="41"/>
  <c r="Q109" i="41" s="1"/>
  <c r="S109" i="41" s="1"/>
  <c r="P101" i="41"/>
  <c r="Q101" i="41" s="1"/>
  <c r="S101" i="41" s="1"/>
  <c r="P93" i="41"/>
  <c r="Q93" i="41" s="1"/>
  <c r="S93" i="41" s="1"/>
  <c r="P79" i="41"/>
  <c r="Q79" i="41" s="1"/>
  <c r="S79" i="41" s="1"/>
  <c r="P63" i="41"/>
  <c r="Q63" i="41" s="1"/>
  <c r="S63" i="41" s="1"/>
  <c r="P47" i="41"/>
  <c r="Q47" i="41" s="1"/>
  <c r="S47" i="41" s="1"/>
  <c r="P31" i="41"/>
  <c r="Q31" i="41" s="1"/>
  <c r="S31" i="41" s="1"/>
  <c r="P15" i="41"/>
  <c r="Q15" i="41" s="1"/>
  <c r="S15" i="41" s="1"/>
  <c r="Q84" i="41"/>
  <c r="S84" i="41" s="1"/>
  <c r="Q41" i="41"/>
  <c r="S41" i="41" s="1"/>
  <c r="P2" i="41"/>
  <c r="Q2" i="41" s="1"/>
  <c r="S2" i="41" s="1"/>
  <c r="M120" i="40"/>
  <c r="M112" i="40"/>
  <c r="M131" i="40"/>
  <c r="M142" i="40"/>
  <c r="O142" i="40" s="1"/>
  <c r="U57" i="41" l="1"/>
  <c r="W107" i="41"/>
  <c r="U107" i="41"/>
  <c r="W25" i="41"/>
  <c r="U25" i="41"/>
  <c r="W15" i="41"/>
  <c r="U15" i="41"/>
  <c r="W117" i="41"/>
  <c r="U117" i="41"/>
  <c r="W123" i="41"/>
  <c r="U123" i="41"/>
  <c r="W51" i="41"/>
  <c r="U51" i="41"/>
  <c r="W119" i="41"/>
  <c r="U119" i="41"/>
  <c r="W13" i="41"/>
  <c r="U13" i="41"/>
  <c r="W49" i="41"/>
  <c r="U49" i="41"/>
  <c r="W81" i="41"/>
  <c r="U81" i="41"/>
  <c r="W124" i="41"/>
  <c r="U124" i="41"/>
  <c r="W130" i="41"/>
  <c r="U130" i="41"/>
  <c r="W8" i="41"/>
  <c r="U8" i="41"/>
  <c r="W40" i="41"/>
  <c r="U40" i="41"/>
  <c r="W72" i="41"/>
  <c r="U72" i="41"/>
  <c r="U50" i="41"/>
  <c r="W50" i="41"/>
  <c r="W31" i="41"/>
  <c r="U31" i="41"/>
  <c r="W93" i="41"/>
  <c r="U93" i="41"/>
  <c r="W125" i="41"/>
  <c r="U125" i="41"/>
  <c r="W11" i="41"/>
  <c r="U11" i="41"/>
  <c r="W4" i="41"/>
  <c r="U4" i="41"/>
  <c r="W67" i="41"/>
  <c r="U67" i="41"/>
  <c r="W127" i="41"/>
  <c r="U127" i="41"/>
  <c r="W17" i="41"/>
  <c r="U17" i="41"/>
  <c r="W33" i="41"/>
  <c r="U33" i="41"/>
  <c r="W53" i="41"/>
  <c r="U53" i="41"/>
  <c r="W85" i="41"/>
  <c r="U85" i="41"/>
  <c r="W43" i="41"/>
  <c r="U43" i="41"/>
  <c r="W87" i="41"/>
  <c r="U87" i="41"/>
  <c r="W12" i="41"/>
  <c r="U12" i="41"/>
  <c r="W16" i="41"/>
  <c r="U16" i="41"/>
  <c r="W48" i="41"/>
  <c r="U48" i="41"/>
  <c r="W80" i="41"/>
  <c r="U80" i="41"/>
  <c r="W101" i="41"/>
  <c r="U101" i="41"/>
  <c r="W132" i="41"/>
  <c r="U132" i="41"/>
  <c r="W75" i="41"/>
  <c r="U75" i="41"/>
  <c r="W20" i="41"/>
  <c r="U20" i="41"/>
  <c r="W83" i="41"/>
  <c r="U83" i="41"/>
  <c r="W5" i="41"/>
  <c r="U5" i="41"/>
  <c r="W21" i="41"/>
  <c r="U21" i="41"/>
  <c r="W37" i="41"/>
  <c r="U37" i="41"/>
  <c r="W61" i="41"/>
  <c r="U61" i="41"/>
  <c r="W28" i="41"/>
  <c r="U28" i="41"/>
  <c r="W24" i="41"/>
  <c r="U24" i="41"/>
  <c r="W56" i="41"/>
  <c r="U56" i="41"/>
  <c r="W88" i="41"/>
  <c r="U88" i="41"/>
  <c r="W82" i="41"/>
  <c r="U82" i="41"/>
  <c r="W63" i="41"/>
  <c r="U63" i="41"/>
  <c r="W9" i="41"/>
  <c r="U9" i="41"/>
  <c r="W65" i="41"/>
  <c r="U65" i="41"/>
  <c r="W32" i="41"/>
  <c r="U32" i="41"/>
  <c r="W64" i="41"/>
  <c r="U64" i="41"/>
  <c r="U14" i="41"/>
  <c r="W14" i="41"/>
  <c r="U66" i="41"/>
  <c r="W66" i="41"/>
  <c r="W69" i="41"/>
  <c r="U69" i="41"/>
  <c r="W19" i="41"/>
  <c r="U19" i="41"/>
  <c r="W45" i="41"/>
  <c r="U45" i="41"/>
  <c r="W79" i="41"/>
  <c r="U79" i="41"/>
  <c r="W77" i="41"/>
  <c r="U77" i="41"/>
  <c r="W29" i="41"/>
  <c r="U29" i="41"/>
  <c r="W2" i="41"/>
  <c r="U2" i="41"/>
  <c r="W113" i="41"/>
  <c r="U113" i="41"/>
  <c r="W3" i="41"/>
  <c r="U3" i="41"/>
  <c r="W134" i="41"/>
  <c r="U134" i="41"/>
  <c r="W115" i="41"/>
  <c r="U115" i="41"/>
  <c r="W108" i="41"/>
  <c r="U108" i="41"/>
  <c r="W118" i="41"/>
  <c r="U118" i="41"/>
  <c r="W104" i="41"/>
  <c r="U104" i="41"/>
  <c r="W135" i="41"/>
  <c r="U135" i="41"/>
  <c r="U18" i="41"/>
  <c r="W18" i="41"/>
  <c r="W26" i="41"/>
  <c r="U26" i="41"/>
  <c r="W42" i="41"/>
  <c r="U42" i="41"/>
  <c r="W58" i="41"/>
  <c r="U58" i="41"/>
  <c r="W74" i="41"/>
  <c r="U74" i="41"/>
  <c r="W94" i="41"/>
  <c r="U94" i="41"/>
  <c r="W102" i="41"/>
  <c r="U102" i="41"/>
  <c r="W110" i="41"/>
  <c r="U110" i="41"/>
  <c r="W122" i="41"/>
  <c r="U122" i="41"/>
  <c r="W129" i="41"/>
  <c r="U129" i="41"/>
  <c r="W41" i="41"/>
  <c r="U41" i="41"/>
  <c r="W121" i="41"/>
  <c r="U121" i="41"/>
  <c r="W59" i="41"/>
  <c r="U59" i="41"/>
  <c r="W103" i="41"/>
  <c r="U103" i="41"/>
  <c r="W68" i="41"/>
  <c r="U68" i="41"/>
  <c r="W7" i="41"/>
  <c r="U7" i="41"/>
  <c r="W47" i="41"/>
  <c r="U47" i="41"/>
  <c r="W76" i="41"/>
  <c r="U76" i="41"/>
  <c r="W10" i="41"/>
  <c r="U10" i="41"/>
  <c r="W84" i="41"/>
  <c r="U84" i="41"/>
  <c r="W97" i="41"/>
  <c r="U97" i="41"/>
  <c r="W27" i="41"/>
  <c r="U27" i="41"/>
  <c r="W111" i="41"/>
  <c r="U111" i="41"/>
  <c r="W36" i="41"/>
  <c r="U36" i="41"/>
  <c r="W60" i="41"/>
  <c r="U60" i="41"/>
  <c r="W92" i="41"/>
  <c r="U92" i="41"/>
  <c r="W131" i="41"/>
  <c r="U131" i="41"/>
  <c r="W90" i="41"/>
  <c r="U90" i="41"/>
  <c r="W96" i="41"/>
  <c r="U96" i="41"/>
  <c r="W112" i="41"/>
  <c r="U112" i="41"/>
  <c r="W128" i="41"/>
  <c r="U128" i="41"/>
  <c r="W6" i="41"/>
  <c r="U6" i="41"/>
  <c r="W22" i="41"/>
  <c r="U22" i="41"/>
  <c r="U30" i="41"/>
  <c r="W30" i="41"/>
  <c r="W38" i="41"/>
  <c r="U38" i="41"/>
  <c r="U46" i="41"/>
  <c r="W46" i="41"/>
  <c r="W54" i="41"/>
  <c r="U54" i="41"/>
  <c r="U62" i="41"/>
  <c r="W62" i="41"/>
  <c r="W70" i="41"/>
  <c r="U70" i="41"/>
  <c r="W78" i="41"/>
  <c r="U78" i="41"/>
  <c r="W86" i="41"/>
  <c r="U86" i="41"/>
  <c r="W98" i="41"/>
  <c r="U98" i="41"/>
  <c r="W106" i="41"/>
  <c r="U106" i="41"/>
  <c r="W114" i="41"/>
  <c r="U114" i="41"/>
  <c r="W126" i="41"/>
  <c r="U126" i="41"/>
  <c r="W133" i="41"/>
  <c r="U133" i="41"/>
  <c r="W100" i="41"/>
  <c r="U100" i="41"/>
  <c r="W91" i="41"/>
  <c r="U91" i="41"/>
  <c r="W109" i="41"/>
  <c r="U109" i="41"/>
  <c r="W55" i="41"/>
  <c r="U55" i="41"/>
  <c r="W44" i="41"/>
  <c r="U44" i="41"/>
  <c r="W95" i="41"/>
  <c r="U95" i="41"/>
  <c r="W120" i="41"/>
  <c r="U120" i="41"/>
  <c r="U34" i="41"/>
  <c r="W34" i="41"/>
  <c r="W116" i="41"/>
  <c r="U116" i="41"/>
  <c r="W71" i="41"/>
  <c r="U71" i="41"/>
  <c r="W89" i="41"/>
  <c r="U89" i="41"/>
  <c r="W23" i="41"/>
  <c r="U23" i="41"/>
  <c r="W52" i="41"/>
  <c r="U52" i="41"/>
  <c r="W105" i="41"/>
  <c r="U105" i="41"/>
  <c r="W35" i="41"/>
  <c r="U35" i="41"/>
  <c r="W136" i="41"/>
  <c r="U136" i="41"/>
  <c r="W39" i="41"/>
  <c r="U39" i="41"/>
  <c r="W99" i="41"/>
  <c r="U99" i="41"/>
  <c r="W73" i="41"/>
  <c r="U73" i="41"/>
  <c r="P142" i="40"/>
  <c r="Q142" i="40" s="1"/>
  <c r="S142" i="40" s="1"/>
  <c r="W142" i="40" l="1"/>
  <c r="U142" i="40"/>
  <c r="M3" i="40"/>
  <c r="O3" i="40" s="1"/>
  <c r="M4" i="40"/>
  <c r="O4" i="40" s="1"/>
  <c r="M5" i="40"/>
  <c r="O5" i="40" s="1"/>
  <c r="M6" i="40"/>
  <c r="O6" i="40" s="1"/>
  <c r="M7" i="40"/>
  <c r="O7" i="40" s="1"/>
  <c r="P7" i="40" s="1"/>
  <c r="M8" i="40"/>
  <c r="O8" i="40" s="1"/>
  <c r="P8" i="40" s="1"/>
  <c r="M9" i="40"/>
  <c r="O9" i="40" s="1"/>
  <c r="M10" i="40"/>
  <c r="O10" i="40" s="1"/>
  <c r="M11" i="40"/>
  <c r="O11" i="40" s="1"/>
  <c r="P11" i="40" s="1"/>
  <c r="M12" i="40"/>
  <c r="O12" i="40" s="1"/>
  <c r="M13" i="40"/>
  <c r="O13" i="40" s="1"/>
  <c r="M14" i="40"/>
  <c r="O14" i="40" s="1"/>
  <c r="M15" i="40"/>
  <c r="O15" i="40" s="1"/>
  <c r="M16" i="40"/>
  <c r="O16" i="40" s="1"/>
  <c r="P16" i="40" s="1"/>
  <c r="M17" i="40"/>
  <c r="O17" i="40" s="1"/>
  <c r="P17" i="40" s="1"/>
  <c r="M18" i="40"/>
  <c r="O18" i="40" s="1"/>
  <c r="P18" i="40" s="1"/>
  <c r="M19" i="40"/>
  <c r="O19" i="40" s="1"/>
  <c r="M20" i="40"/>
  <c r="O20" i="40" s="1"/>
  <c r="M21" i="40"/>
  <c r="O21" i="40" s="1"/>
  <c r="M22" i="40"/>
  <c r="O22" i="40" s="1"/>
  <c r="M23" i="40"/>
  <c r="O23" i="40" s="1"/>
  <c r="P23" i="40" s="1"/>
  <c r="M24" i="40"/>
  <c r="O24" i="40" s="1"/>
  <c r="P24" i="40" s="1"/>
  <c r="M25" i="40"/>
  <c r="O25" i="40" s="1"/>
  <c r="M26" i="40"/>
  <c r="O26" i="40" s="1"/>
  <c r="M27" i="40"/>
  <c r="O27" i="40" s="1"/>
  <c r="P27" i="40" s="1"/>
  <c r="M28" i="40"/>
  <c r="O28" i="40" s="1"/>
  <c r="M29" i="40"/>
  <c r="O29" i="40" s="1"/>
  <c r="M30" i="40"/>
  <c r="O30" i="40" s="1"/>
  <c r="M31" i="40"/>
  <c r="O31" i="40" s="1"/>
  <c r="M32" i="40"/>
  <c r="O32" i="40" s="1"/>
  <c r="P32" i="40" s="1"/>
  <c r="M33" i="40"/>
  <c r="O33" i="40" s="1"/>
  <c r="M34" i="40"/>
  <c r="O34" i="40" s="1"/>
  <c r="M35" i="40"/>
  <c r="O35" i="40" s="1"/>
  <c r="M36" i="40"/>
  <c r="O36" i="40" s="1"/>
  <c r="M37" i="40"/>
  <c r="O37" i="40" s="1"/>
  <c r="M38" i="40"/>
  <c r="O38" i="40" s="1"/>
  <c r="M39" i="40"/>
  <c r="O39" i="40" s="1"/>
  <c r="P39" i="40" s="1"/>
  <c r="M40" i="40"/>
  <c r="O40" i="40" s="1"/>
  <c r="P40" i="40" s="1"/>
  <c r="O41" i="40"/>
  <c r="M42" i="40"/>
  <c r="O42" i="40" s="1"/>
  <c r="M43" i="40"/>
  <c r="O43" i="40" s="1"/>
  <c r="P43" i="40" s="1"/>
  <c r="M44" i="40"/>
  <c r="O44" i="40" s="1"/>
  <c r="M45" i="40"/>
  <c r="O45" i="40" s="1"/>
  <c r="M46" i="40"/>
  <c r="O46" i="40" s="1"/>
  <c r="M47" i="40"/>
  <c r="O47" i="40" s="1"/>
  <c r="M48" i="40"/>
  <c r="O48" i="40" s="1"/>
  <c r="P48" i="40" s="1"/>
  <c r="M49" i="40"/>
  <c r="O49" i="40" s="1"/>
  <c r="P49" i="40" s="1"/>
  <c r="M50" i="40"/>
  <c r="O50" i="40" s="1"/>
  <c r="P50" i="40" s="1"/>
  <c r="M51" i="40"/>
  <c r="O51" i="40" s="1"/>
  <c r="M52" i="40"/>
  <c r="O52" i="40" s="1"/>
  <c r="M53" i="40"/>
  <c r="O53" i="40" s="1"/>
  <c r="M54" i="40"/>
  <c r="O54" i="40" s="1"/>
  <c r="M55" i="40"/>
  <c r="O55" i="40" s="1"/>
  <c r="P55" i="40" s="1"/>
  <c r="M56" i="40"/>
  <c r="O56" i="40" s="1"/>
  <c r="P56" i="40" s="1"/>
  <c r="M57" i="40"/>
  <c r="O57" i="40" s="1"/>
  <c r="M58" i="40"/>
  <c r="O58" i="40" s="1"/>
  <c r="M59" i="40"/>
  <c r="O59" i="40" s="1"/>
  <c r="P59" i="40" s="1"/>
  <c r="M60" i="40"/>
  <c r="O60" i="40" s="1"/>
  <c r="M61" i="40"/>
  <c r="O61" i="40" s="1"/>
  <c r="P61" i="40" s="1"/>
  <c r="M62" i="40"/>
  <c r="O62" i="40" s="1"/>
  <c r="M63" i="40"/>
  <c r="O63" i="40" s="1"/>
  <c r="M64" i="40"/>
  <c r="O64" i="40" s="1"/>
  <c r="P64" i="40" s="1"/>
  <c r="M65" i="40"/>
  <c r="O65" i="40" s="1"/>
  <c r="M66" i="40"/>
  <c r="O66" i="40" s="1"/>
  <c r="M67" i="40"/>
  <c r="O67" i="40" s="1"/>
  <c r="M68" i="40"/>
  <c r="O68" i="40" s="1"/>
  <c r="M69" i="40"/>
  <c r="O69" i="40" s="1"/>
  <c r="M70" i="40"/>
  <c r="O70" i="40" s="1"/>
  <c r="M71" i="40"/>
  <c r="O71" i="40" s="1"/>
  <c r="P71" i="40" s="1"/>
  <c r="M72" i="40"/>
  <c r="O72" i="40" s="1"/>
  <c r="P72" i="40" s="1"/>
  <c r="M73" i="40"/>
  <c r="O73" i="40" s="1"/>
  <c r="P73" i="40" s="1"/>
  <c r="M74" i="40"/>
  <c r="O74" i="40" s="1"/>
  <c r="M75" i="40"/>
  <c r="O75" i="40" s="1"/>
  <c r="P75" i="40" s="1"/>
  <c r="M76" i="40"/>
  <c r="O76" i="40" s="1"/>
  <c r="M77" i="40"/>
  <c r="O77" i="40" s="1"/>
  <c r="M78" i="40"/>
  <c r="O78" i="40" s="1"/>
  <c r="M79" i="40"/>
  <c r="O79" i="40" s="1"/>
  <c r="M80" i="40"/>
  <c r="O80" i="40" s="1"/>
  <c r="P80" i="40" s="1"/>
  <c r="M81" i="40"/>
  <c r="O81" i="40" s="1"/>
  <c r="M82" i="40"/>
  <c r="O82" i="40" s="1"/>
  <c r="P82" i="40" s="1"/>
  <c r="M83" i="40"/>
  <c r="O83" i="40" s="1"/>
  <c r="M84" i="40"/>
  <c r="O84" i="40" s="1"/>
  <c r="M85" i="40"/>
  <c r="O85" i="40" s="1"/>
  <c r="M86" i="40"/>
  <c r="O86" i="40" s="1"/>
  <c r="M87" i="40"/>
  <c r="O87" i="40" s="1"/>
  <c r="P87" i="40" s="1"/>
  <c r="M88" i="40"/>
  <c r="O88" i="40" s="1"/>
  <c r="P88" i="40" s="1"/>
  <c r="M89" i="40"/>
  <c r="O89" i="40" s="1"/>
  <c r="M90" i="40"/>
  <c r="O90" i="40" s="1"/>
  <c r="M91" i="40"/>
  <c r="O91" i="40" s="1"/>
  <c r="P91" i="40" s="1"/>
  <c r="M92" i="40"/>
  <c r="O92" i="40" s="1"/>
  <c r="P92" i="40" s="1"/>
  <c r="M93" i="40"/>
  <c r="O93" i="40" s="1"/>
  <c r="M94" i="40"/>
  <c r="O94" i="40" s="1"/>
  <c r="M95" i="40"/>
  <c r="O95" i="40" s="1"/>
  <c r="P95" i="40" s="1"/>
  <c r="M96" i="40"/>
  <c r="O96" i="40" s="1"/>
  <c r="M97" i="40"/>
  <c r="O97" i="40" s="1"/>
  <c r="P97" i="40" s="1"/>
  <c r="M98" i="40"/>
  <c r="O98" i="40" s="1"/>
  <c r="M99" i="40"/>
  <c r="O99" i="40" s="1"/>
  <c r="P99" i="40" s="1"/>
  <c r="M100" i="40"/>
  <c r="O100" i="40" s="1"/>
  <c r="P100" i="40" s="1"/>
  <c r="Q100" i="40" s="1"/>
  <c r="S100" i="40" s="1"/>
  <c r="M101" i="40"/>
  <c r="O101" i="40" s="1"/>
  <c r="M102" i="40"/>
  <c r="O102" i="40" s="1"/>
  <c r="M103" i="40"/>
  <c r="O103" i="40" s="1"/>
  <c r="M104" i="40"/>
  <c r="O104" i="40" s="1"/>
  <c r="M105" i="40"/>
  <c r="O105" i="40" s="1"/>
  <c r="P105" i="40" s="1"/>
  <c r="M106" i="40"/>
  <c r="O106" i="40" s="1"/>
  <c r="M107" i="40"/>
  <c r="O107" i="40" s="1"/>
  <c r="M108" i="40"/>
  <c r="O108" i="40" s="1"/>
  <c r="P108" i="40" s="1"/>
  <c r="Q108" i="40" s="1"/>
  <c r="S108" i="40" s="1"/>
  <c r="M109" i="40"/>
  <c r="O109" i="40" s="1"/>
  <c r="M110" i="40"/>
  <c r="O110" i="40" s="1"/>
  <c r="M111" i="40"/>
  <c r="O111" i="40" s="1"/>
  <c r="O112" i="40"/>
  <c r="M113" i="40"/>
  <c r="O113" i="40" s="1"/>
  <c r="M114" i="40"/>
  <c r="O114" i="40" s="1"/>
  <c r="M115" i="40"/>
  <c r="O115" i="40" s="1"/>
  <c r="M116" i="40"/>
  <c r="O116" i="40" s="1"/>
  <c r="P116" i="40" s="1"/>
  <c r="Q116" i="40" s="1"/>
  <c r="S116" i="40" s="1"/>
  <c r="M117" i="40"/>
  <c r="O117" i="40" s="1"/>
  <c r="M118" i="40"/>
  <c r="O118" i="40" s="1"/>
  <c r="M119" i="40"/>
  <c r="O119" i="40" s="1"/>
  <c r="O120" i="40"/>
  <c r="M121" i="40"/>
  <c r="O121" i="40" s="1"/>
  <c r="M122" i="40"/>
  <c r="O122" i="40" s="1"/>
  <c r="M123" i="40"/>
  <c r="O123" i="40" s="1"/>
  <c r="M124" i="40"/>
  <c r="O124" i="40" s="1"/>
  <c r="P124" i="40" s="1"/>
  <c r="M125" i="40"/>
  <c r="O125" i="40" s="1"/>
  <c r="M126" i="40"/>
  <c r="O126" i="40" s="1"/>
  <c r="M127" i="40"/>
  <c r="O127" i="40" s="1"/>
  <c r="M128" i="40"/>
  <c r="O128" i="40" s="1"/>
  <c r="M129" i="40"/>
  <c r="O129" i="40" s="1"/>
  <c r="M130" i="40"/>
  <c r="O130" i="40" s="1"/>
  <c r="O131" i="40"/>
  <c r="M132" i="40"/>
  <c r="O132" i="40" s="1"/>
  <c r="P132" i="40" s="1"/>
  <c r="Q132" i="40" s="1"/>
  <c r="S132" i="40" s="1"/>
  <c r="M133" i="40"/>
  <c r="O133" i="40" s="1"/>
  <c r="M134" i="40"/>
  <c r="O134" i="40" s="1"/>
  <c r="M135" i="40"/>
  <c r="O135" i="40" s="1"/>
  <c r="M136" i="40"/>
  <c r="O136" i="40" s="1"/>
  <c r="M137" i="40"/>
  <c r="O137" i="40" s="1"/>
  <c r="P137" i="40" s="1"/>
  <c r="M138" i="40"/>
  <c r="O138" i="40" s="1"/>
  <c r="M139" i="40"/>
  <c r="O139" i="40" s="1"/>
  <c r="M140" i="40"/>
  <c r="O140" i="40" s="1"/>
  <c r="P140" i="40" s="1"/>
  <c r="Q140" i="40" s="1"/>
  <c r="S140" i="40" s="1"/>
  <c r="M141" i="40"/>
  <c r="O141" i="40" s="1"/>
  <c r="M2" i="40"/>
  <c r="O2" i="40" s="1"/>
  <c r="Q71" i="40" l="1"/>
  <c r="S71" i="40" s="1"/>
  <c r="W71" i="40" s="1"/>
  <c r="Q50" i="40"/>
  <c r="S50" i="40" s="1"/>
  <c r="W50" i="40" s="1"/>
  <c r="Q124" i="40"/>
  <c r="S124" i="40" s="1"/>
  <c r="U124" i="40" s="1"/>
  <c r="Q39" i="40"/>
  <c r="S39" i="40" s="1"/>
  <c r="W39" i="40" s="1"/>
  <c r="Q92" i="40"/>
  <c r="S92" i="40" s="1"/>
  <c r="W92" i="40" s="1"/>
  <c r="Q7" i="40"/>
  <c r="S7" i="40" s="1"/>
  <c r="W7" i="40" s="1"/>
  <c r="W140" i="40"/>
  <c r="U140" i="40"/>
  <c r="W116" i="40"/>
  <c r="U116" i="40"/>
  <c r="W132" i="40"/>
  <c r="U132" i="40"/>
  <c r="W108" i="40"/>
  <c r="U108" i="40"/>
  <c r="P126" i="40"/>
  <c r="Q126" i="40" s="1"/>
  <c r="S126" i="40" s="1"/>
  <c r="P110" i="40"/>
  <c r="Q110" i="40" s="1"/>
  <c r="S110" i="40" s="1"/>
  <c r="P86" i="40"/>
  <c r="Q86" i="40" s="1"/>
  <c r="S86" i="40" s="1"/>
  <c r="P62" i="40"/>
  <c r="Q62" i="40" s="1"/>
  <c r="S62" i="40" s="1"/>
  <c r="P30" i="40"/>
  <c r="Q30" i="40" s="1"/>
  <c r="S30" i="40" s="1"/>
  <c r="P22" i="40"/>
  <c r="Q22" i="40" s="1"/>
  <c r="S22" i="40" s="1"/>
  <c r="P14" i="40"/>
  <c r="Q14" i="40" s="1"/>
  <c r="S14" i="40" s="1"/>
  <c r="W100" i="40"/>
  <c r="U100" i="40"/>
  <c r="P134" i="40"/>
  <c r="Q134" i="40" s="1"/>
  <c r="S134" i="40" s="1"/>
  <c r="P118" i="40"/>
  <c r="Q118" i="40" s="1"/>
  <c r="S118" i="40" s="1"/>
  <c r="P94" i="40"/>
  <c r="Q94" i="40" s="1"/>
  <c r="S94" i="40" s="1"/>
  <c r="P78" i="40"/>
  <c r="Q78" i="40" s="1"/>
  <c r="S78" i="40" s="1"/>
  <c r="P54" i="40"/>
  <c r="Q54" i="40" s="1"/>
  <c r="S54" i="40" s="1"/>
  <c r="P46" i="40"/>
  <c r="Q46" i="40" s="1"/>
  <c r="S46" i="40" s="1"/>
  <c r="P141" i="40"/>
  <c r="Q141" i="40" s="1"/>
  <c r="S141" i="40" s="1"/>
  <c r="P109" i="40"/>
  <c r="Q109" i="40" s="1"/>
  <c r="S109" i="40" s="1"/>
  <c r="P101" i="40"/>
  <c r="Q101" i="40" s="1"/>
  <c r="S101" i="40" s="1"/>
  <c r="P93" i="40"/>
  <c r="Q93" i="40" s="1"/>
  <c r="S93" i="40" s="1"/>
  <c r="P77" i="40"/>
  <c r="Q77" i="40" s="1"/>
  <c r="S77" i="40" s="1"/>
  <c r="P53" i="40"/>
  <c r="Q53" i="40" s="1"/>
  <c r="S53" i="40" s="1"/>
  <c r="P37" i="40"/>
  <c r="Q37" i="40" s="1"/>
  <c r="S37" i="40" s="1"/>
  <c r="P21" i="40"/>
  <c r="Q21" i="40" s="1"/>
  <c r="S21" i="40" s="1"/>
  <c r="P70" i="40"/>
  <c r="Q70" i="40" s="1"/>
  <c r="S70" i="40" s="1"/>
  <c r="P6" i="40"/>
  <c r="Q6" i="40" s="1"/>
  <c r="S6" i="40" s="1"/>
  <c r="P81" i="40"/>
  <c r="Q81" i="40" s="1"/>
  <c r="S81" i="40" s="1"/>
  <c r="P41" i="40"/>
  <c r="Q41" i="40" s="1"/>
  <c r="S41" i="40" s="1"/>
  <c r="P9" i="40"/>
  <c r="Q9" i="40" s="1"/>
  <c r="S9" i="40" s="1"/>
  <c r="Q82" i="40"/>
  <c r="S82" i="40" s="1"/>
  <c r="Q137" i="40"/>
  <c r="S137" i="40" s="1"/>
  <c r="P133" i="40"/>
  <c r="Q133" i="40" s="1"/>
  <c r="S133" i="40" s="1"/>
  <c r="P125" i="40"/>
  <c r="Q125" i="40" s="1"/>
  <c r="S125" i="40" s="1"/>
  <c r="P117" i="40"/>
  <c r="Q117" i="40" s="1"/>
  <c r="S117" i="40" s="1"/>
  <c r="Q105" i="40"/>
  <c r="S105" i="40" s="1"/>
  <c r="Q73" i="40"/>
  <c r="S73" i="40" s="1"/>
  <c r="P69" i="40"/>
  <c r="Q69" i="40" s="1"/>
  <c r="S69" i="40" s="1"/>
  <c r="Q49" i="40"/>
  <c r="S49" i="40" s="1"/>
  <c r="P45" i="40"/>
  <c r="Q45" i="40" s="1"/>
  <c r="S45" i="40" s="1"/>
  <c r="P29" i="40"/>
  <c r="Q29" i="40" s="1"/>
  <c r="S29" i="40" s="1"/>
  <c r="Q17" i="40"/>
  <c r="S17" i="40" s="1"/>
  <c r="P13" i="40"/>
  <c r="Q13" i="40" s="1"/>
  <c r="S13" i="40" s="1"/>
  <c r="P5" i="40"/>
  <c r="Q5" i="40" s="1"/>
  <c r="S5" i="40" s="1"/>
  <c r="P102" i="40"/>
  <c r="Q102" i="40" s="1"/>
  <c r="S102" i="40" s="1"/>
  <c r="P38" i="40"/>
  <c r="Q38" i="40" s="1"/>
  <c r="S38" i="40" s="1"/>
  <c r="P113" i="40"/>
  <c r="Q113" i="40" s="1"/>
  <c r="S113" i="40" s="1"/>
  <c r="P139" i="40"/>
  <c r="Q139" i="40" s="1"/>
  <c r="S139" i="40" s="1"/>
  <c r="P135" i="40"/>
  <c r="Q135" i="40" s="1"/>
  <c r="S135" i="40" s="1"/>
  <c r="P131" i="40"/>
  <c r="Q131" i="40" s="1"/>
  <c r="S131" i="40" s="1"/>
  <c r="P127" i="40"/>
  <c r="Q127" i="40" s="1"/>
  <c r="S127" i="40" s="1"/>
  <c r="P123" i="40"/>
  <c r="Q123" i="40" s="1"/>
  <c r="S123" i="40" s="1"/>
  <c r="P119" i="40"/>
  <c r="Q119" i="40" s="1"/>
  <c r="S119" i="40" s="1"/>
  <c r="P115" i="40"/>
  <c r="Q115" i="40" s="1"/>
  <c r="S115" i="40" s="1"/>
  <c r="P111" i="40"/>
  <c r="Q111" i="40" s="1"/>
  <c r="S111" i="40" s="1"/>
  <c r="P107" i="40"/>
  <c r="Q107" i="40" s="1"/>
  <c r="S107" i="40" s="1"/>
  <c r="P103" i="40"/>
  <c r="Q103" i="40" s="1"/>
  <c r="S103" i="40" s="1"/>
  <c r="P129" i="40"/>
  <c r="Q129" i="40" s="1"/>
  <c r="S129" i="40" s="1"/>
  <c r="P65" i="40"/>
  <c r="Q65" i="40" s="1"/>
  <c r="S65" i="40" s="1"/>
  <c r="P33" i="40"/>
  <c r="Q33" i="40" s="1"/>
  <c r="S33" i="40" s="1"/>
  <c r="Q18" i="40"/>
  <c r="S18" i="40" s="1"/>
  <c r="Q97" i="40"/>
  <c r="S97" i="40" s="1"/>
  <c r="P85" i="40"/>
  <c r="Q85" i="40" s="1"/>
  <c r="S85" i="40" s="1"/>
  <c r="P138" i="40"/>
  <c r="Q138" i="40" s="1"/>
  <c r="S138" i="40" s="1"/>
  <c r="P130" i="40"/>
  <c r="Q130" i="40" s="1"/>
  <c r="S130" i="40" s="1"/>
  <c r="P122" i="40"/>
  <c r="Q122" i="40" s="1"/>
  <c r="S122" i="40" s="1"/>
  <c r="P114" i="40"/>
  <c r="Q114" i="40" s="1"/>
  <c r="S114" i="40" s="1"/>
  <c r="P106" i="40"/>
  <c r="Q106" i="40" s="1"/>
  <c r="S106" i="40" s="1"/>
  <c r="P98" i="40"/>
  <c r="Q98" i="40" s="1"/>
  <c r="S98" i="40" s="1"/>
  <c r="P90" i="40"/>
  <c r="Q90" i="40" s="1"/>
  <c r="S90" i="40" s="1"/>
  <c r="P74" i="40"/>
  <c r="Q74" i="40" s="1"/>
  <c r="S74" i="40" s="1"/>
  <c r="P66" i="40"/>
  <c r="Q66" i="40" s="1"/>
  <c r="S66" i="40" s="1"/>
  <c r="P58" i="40"/>
  <c r="Q58" i="40" s="1"/>
  <c r="S58" i="40" s="1"/>
  <c r="P42" i="40"/>
  <c r="Q42" i="40" s="1"/>
  <c r="S42" i="40" s="1"/>
  <c r="P34" i="40"/>
  <c r="Q34" i="40" s="1"/>
  <c r="S34" i="40" s="1"/>
  <c r="P26" i="40"/>
  <c r="Q26" i="40" s="1"/>
  <c r="S26" i="40" s="1"/>
  <c r="P10" i="40"/>
  <c r="Q10" i="40" s="1"/>
  <c r="S10" i="40" s="1"/>
  <c r="P121" i="40"/>
  <c r="Q121" i="40" s="1"/>
  <c r="S121" i="40" s="1"/>
  <c r="P89" i="40"/>
  <c r="Q89" i="40" s="1"/>
  <c r="S89" i="40" s="1"/>
  <c r="P57" i="40"/>
  <c r="Q57" i="40" s="1"/>
  <c r="S57" i="40" s="1"/>
  <c r="P25" i="40"/>
  <c r="Q25" i="40" s="1"/>
  <c r="S25" i="40" s="1"/>
  <c r="Q61" i="40"/>
  <c r="S61" i="40" s="1"/>
  <c r="P136" i="40"/>
  <c r="Q136" i="40" s="1"/>
  <c r="S136" i="40" s="1"/>
  <c r="P128" i="40"/>
  <c r="Q128" i="40" s="1"/>
  <c r="S128" i="40" s="1"/>
  <c r="P120" i="40"/>
  <c r="Q120" i="40" s="1"/>
  <c r="S120" i="40" s="1"/>
  <c r="P112" i="40"/>
  <c r="Q112" i="40" s="1"/>
  <c r="S112" i="40" s="1"/>
  <c r="P104" i="40"/>
  <c r="Q104" i="40" s="1"/>
  <c r="S104" i="40" s="1"/>
  <c r="P96" i="40"/>
  <c r="Q96" i="40" s="1"/>
  <c r="S96" i="40" s="1"/>
  <c r="Q99" i="40"/>
  <c r="S99" i="40" s="1"/>
  <c r="Q91" i="40"/>
  <c r="S91" i="40" s="1"/>
  <c r="Q59" i="40"/>
  <c r="S59" i="40" s="1"/>
  <c r="Q27" i="40"/>
  <c r="S27" i="40" s="1"/>
  <c r="Q88" i="40"/>
  <c r="S88" i="40" s="1"/>
  <c r="Q80" i="40"/>
  <c r="S80" i="40" s="1"/>
  <c r="Q72" i="40"/>
  <c r="S72" i="40" s="1"/>
  <c r="Q64" i="40"/>
  <c r="S64" i="40" s="1"/>
  <c r="Q56" i="40"/>
  <c r="S56" i="40" s="1"/>
  <c r="Q48" i="40"/>
  <c r="S48" i="40" s="1"/>
  <c r="Q40" i="40"/>
  <c r="S40" i="40" s="1"/>
  <c r="Q32" i="40"/>
  <c r="S32" i="40" s="1"/>
  <c r="Q24" i="40"/>
  <c r="S24" i="40" s="1"/>
  <c r="Q16" i="40"/>
  <c r="S16" i="40" s="1"/>
  <c r="Q8" i="40"/>
  <c r="S8" i="40" s="1"/>
  <c r="Q87" i="40"/>
  <c r="S87" i="40" s="1"/>
  <c r="Q55" i="40"/>
  <c r="S55" i="40" s="1"/>
  <c r="Q23" i="40"/>
  <c r="S23" i="40" s="1"/>
  <c r="P83" i="40"/>
  <c r="Q83" i="40" s="1"/>
  <c r="S83" i="40" s="1"/>
  <c r="P79" i="40"/>
  <c r="Q79" i="40" s="1"/>
  <c r="S79" i="40" s="1"/>
  <c r="P67" i="40"/>
  <c r="Q67" i="40" s="1"/>
  <c r="S67" i="40" s="1"/>
  <c r="P63" i="40"/>
  <c r="Q63" i="40" s="1"/>
  <c r="S63" i="40" s="1"/>
  <c r="P51" i="40"/>
  <c r="Q51" i="40" s="1"/>
  <c r="S51" i="40" s="1"/>
  <c r="P47" i="40"/>
  <c r="Q47" i="40" s="1"/>
  <c r="S47" i="40" s="1"/>
  <c r="P35" i="40"/>
  <c r="Q35" i="40" s="1"/>
  <c r="S35" i="40" s="1"/>
  <c r="P31" i="40"/>
  <c r="Q31" i="40" s="1"/>
  <c r="S31" i="40" s="1"/>
  <c r="P19" i="40"/>
  <c r="Q19" i="40" s="1"/>
  <c r="S19" i="40" s="1"/>
  <c r="P15" i="40"/>
  <c r="Q15" i="40" s="1"/>
  <c r="S15" i="40" s="1"/>
  <c r="P3" i="40"/>
  <c r="Q3" i="40" s="1"/>
  <c r="S3" i="40" s="1"/>
  <c r="P84" i="40"/>
  <c r="Q84" i="40" s="1"/>
  <c r="S84" i="40" s="1"/>
  <c r="P76" i="40"/>
  <c r="Q76" i="40" s="1"/>
  <c r="S76" i="40" s="1"/>
  <c r="P68" i="40"/>
  <c r="Q68" i="40" s="1"/>
  <c r="S68" i="40" s="1"/>
  <c r="P60" i="40"/>
  <c r="Q60" i="40" s="1"/>
  <c r="S60" i="40" s="1"/>
  <c r="P52" i="40"/>
  <c r="Q52" i="40" s="1"/>
  <c r="S52" i="40" s="1"/>
  <c r="P44" i="40"/>
  <c r="Q44" i="40" s="1"/>
  <c r="S44" i="40" s="1"/>
  <c r="P36" i="40"/>
  <c r="Q36" i="40" s="1"/>
  <c r="S36" i="40" s="1"/>
  <c r="P28" i="40"/>
  <c r="Q28" i="40" s="1"/>
  <c r="S28" i="40" s="1"/>
  <c r="P20" i="40"/>
  <c r="Q20" i="40" s="1"/>
  <c r="S20" i="40" s="1"/>
  <c r="P12" i="40"/>
  <c r="Q12" i="40" s="1"/>
  <c r="S12" i="40" s="1"/>
  <c r="P4" i="40"/>
  <c r="Q4" i="40" s="1"/>
  <c r="S4" i="40" s="1"/>
  <c r="Q95" i="40"/>
  <c r="S95" i="40" s="1"/>
  <c r="Q75" i="40"/>
  <c r="S75" i="40" s="1"/>
  <c r="Q43" i="40"/>
  <c r="S43" i="40" s="1"/>
  <c r="Q11" i="40"/>
  <c r="S11" i="40" s="1"/>
  <c r="P2" i="40"/>
  <c r="Q2" i="40" s="1"/>
  <c r="S2" i="40" s="1"/>
  <c r="I3" i="39"/>
  <c r="K3" i="39" s="1"/>
  <c r="I2" i="39"/>
  <c r="K2" i="39" s="1"/>
  <c r="U50" i="40" l="1"/>
  <c r="U7" i="40"/>
  <c r="U71" i="40"/>
  <c r="W124" i="40"/>
  <c r="U39" i="40"/>
  <c r="U92" i="40"/>
  <c r="W4" i="40"/>
  <c r="U4" i="40"/>
  <c r="W51" i="40"/>
  <c r="U51" i="40"/>
  <c r="W120" i="40"/>
  <c r="U120" i="40"/>
  <c r="W106" i="40"/>
  <c r="U106" i="40"/>
  <c r="U33" i="40"/>
  <c r="W33" i="40"/>
  <c r="W125" i="40"/>
  <c r="U125" i="40"/>
  <c r="W93" i="40"/>
  <c r="U93" i="40"/>
  <c r="U78" i="40"/>
  <c r="W78" i="40"/>
  <c r="W12" i="40"/>
  <c r="U12" i="40"/>
  <c r="W44" i="40"/>
  <c r="U44" i="40"/>
  <c r="W76" i="40"/>
  <c r="U76" i="40"/>
  <c r="W35" i="40"/>
  <c r="U35" i="40"/>
  <c r="W96" i="40"/>
  <c r="U96" i="40"/>
  <c r="W128" i="40"/>
  <c r="U128" i="40"/>
  <c r="U121" i="40"/>
  <c r="W121" i="40"/>
  <c r="W90" i="40"/>
  <c r="U90" i="40"/>
  <c r="U65" i="40"/>
  <c r="W65" i="40"/>
  <c r="W119" i="40"/>
  <c r="U119" i="40"/>
  <c r="W21" i="40"/>
  <c r="U21" i="40"/>
  <c r="W101" i="40"/>
  <c r="U101" i="40"/>
  <c r="U46" i="40"/>
  <c r="W46" i="40"/>
  <c r="U14" i="40"/>
  <c r="W14" i="40"/>
  <c r="W62" i="40"/>
  <c r="U62" i="40"/>
  <c r="W36" i="40"/>
  <c r="U36" i="40"/>
  <c r="U89" i="40"/>
  <c r="W89" i="40"/>
  <c r="W127" i="40"/>
  <c r="U127" i="40"/>
  <c r="U41" i="40"/>
  <c r="W41" i="40"/>
  <c r="W141" i="40"/>
  <c r="U141" i="40"/>
  <c r="W30" i="40"/>
  <c r="U30" i="40"/>
  <c r="W20" i="40"/>
  <c r="U20" i="40"/>
  <c r="W52" i="40"/>
  <c r="U52" i="40"/>
  <c r="W84" i="40"/>
  <c r="U84" i="40"/>
  <c r="W19" i="40"/>
  <c r="U19" i="40"/>
  <c r="W83" i="40"/>
  <c r="U83" i="40"/>
  <c r="W104" i="40"/>
  <c r="U104" i="40"/>
  <c r="W136" i="40"/>
  <c r="U136" i="40"/>
  <c r="U25" i="40"/>
  <c r="W25" i="40"/>
  <c r="W66" i="40"/>
  <c r="U66" i="40"/>
  <c r="W138" i="40"/>
  <c r="U138" i="40"/>
  <c r="U129" i="40"/>
  <c r="W129" i="40"/>
  <c r="W111" i="40"/>
  <c r="U111" i="40"/>
  <c r="W37" i="40"/>
  <c r="U37" i="40"/>
  <c r="W109" i="40"/>
  <c r="U109" i="40"/>
  <c r="W68" i="40"/>
  <c r="U68" i="40"/>
  <c r="W26" i="40"/>
  <c r="U26" i="40"/>
  <c r="W13" i="40"/>
  <c r="U13" i="40"/>
  <c r="W28" i="40"/>
  <c r="U28" i="40"/>
  <c r="W60" i="40"/>
  <c r="U60" i="40"/>
  <c r="W3" i="40"/>
  <c r="U3" i="40"/>
  <c r="W67" i="40"/>
  <c r="U67" i="40"/>
  <c r="W112" i="40"/>
  <c r="U112" i="40"/>
  <c r="U57" i="40"/>
  <c r="W57" i="40"/>
  <c r="W42" i="40"/>
  <c r="U42" i="40"/>
  <c r="W122" i="40"/>
  <c r="U122" i="40"/>
  <c r="W85" i="40"/>
  <c r="U85" i="40"/>
  <c r="W103" i="40"/>
  <c r="U103" i="40"/>
  <c r="W135" i="40"/>
  <c r="U135" i="40"/>
  <c r="W38" i="40"/>
  <c r="U38" i="40"/>
  <c r="W69" i="40"/>
  <c r="U69" i="40"/>
  <c r="W95" i="40"/>
  <c r="U95" i="40"/>
  <c r="W32" i="40"/>
  <c r="U32" i="40"/>
  <c r="W80" i="40"/>
  <c r="U80" i="40"/>
  <c r="W34" i="40"/>
  <c r="U34" i="40"/>
  <c r="W98" i="40"/>
  <c r="U98" i="40"/>
  <c r="W18" i="40"/>
  <c r="U18" i="40"/>
  <c r="W115" i="40"/>
  <c r="U115" i="40"/>
  <c r="W131" i="40"/>
  <c r="U131" i="40"/>
  <c r="W5" i="40"/>
  <c r="U5" i="40"/>
  <c r="U73" i="40"/>
  <c r="W73" i="40"/>
  <c r="W133" i="40"/>
  <c r="U133" i="40"/>
  <c r="U9" i="40"/>
  <c r="W9" i="40"/>
  <c r="W77" i="40"/>
  <c r="U77" i="40"/>
  <c r="W22" i="40"/>
  <c r="U22" i="40"/>
  <c r="W11" i="40"/>
  <c r="U11" i="40"/>
  <c r="W91" i="40"/>
  <c r="U91" i="40"/>
  <c r="W102" i="40"/>
  <c r="U102" i="40"/>
  <c r="U49" i="40"/>
  <c r="W49" i="40"/>
  <c r="U137" i="40"/>
  <c r="W137" i="40"/>
  <c r="U81" i="40"/>
  <c r="W81" i="40"/>
  <c r="W16" i="40"/>
  <c r="U16" i="40"/>
  <c r="W48" i="40"/>
  <c r="U48" i="40"/>
  <c r="W59" i="40"/>
  <c r="U59" i="40"/>
  <c r="W10" i="40"/>
  <c r="U10" i="40"/>
  <c r="W74" i="40"/>
  <c r="U74" i="40"/>
  <c r="W114" i="40"/>
  <c r="U114" i="40"/>
  <c r="W107" i="40"/>
  <c r="U107" i="40"/>
  <c r="W123" i="40"/>
  <c r="U123" i="40"/>
  <c r="W45" i="40"/>
  <c r="U45" i="40"/>
  <c r="W117" i="40"/>
  <c r="U117" i="40"/>
  <c r="W6" i="40"/>
  <c r="U6" i="40"/>
  <c r="W53" i="40"/>
  <c r="U53" i="40"/>
  <c r="U113" i="40"/>
  <c r="W113" i="40"/>
  <c r="W118" i="40"/>
  <c r="U118" i="40"/>
  <c r="W43" i="40"/>
  <c r="U43" i="40"/>
  <c r="W23" i="40"/>
  <c r="U23" i="40"/>
  <c r="W8" i="40"/>
  <c r="U8" i="40"/>
  <c r="W24" i="40"/>
  <c r="U24" i="40"/>
  <c r="W40" i="40"/>
  <c r="U40" i="40"/>
  <c r="W56" i="40"/>
  <c r="U56" i="40"/>
  <c r="W72" i="40"/>
  <c r="U72" i="40"/>
  <c r="W88" i="40"/>
  <c r="U88" i="40"/>
  <c r="W99" i="40"/>
  <c r="U99" i="40"/>
  <c r="U97" i="40"/>
  <c r="W97" i="40"/>
  <c r="U105" i="40"/>
  <c r="W105" i="40"/>
  <c r="W70" i="40"/>
  <c r="U70" i="40"/>
  <c r="W54" i="40"/>
  <c r="U54" i="40"/>
  <c r="W94" i="40"/>
  <c r="U94" i="40"/>
  <c r="W134" i="40"/>
  <c r="U134" i="40"/>
  <c r="W86" i="40"/>
  <c r="U86" i="40"/>
  <c r="W126" i="40"/>
  <c r="U126" i="40"/>
  <c r="U2" i="40"/>
  <c r="W2" i="40"/>
  <c r="W87" i="40"/>
  <c r="U87" i="40"/>
  <c r="W64" i="40"/>
  <c r="U64" i="40"/>
  <c r="W58" i="40"/>
  <c r="U58" i="40"/>
  <c r="U130" i="40"/>
  <c r="W130" i="40"/>
  <c r="W139" i="40"/>
  <c r="U139" i="40"/>
  <c r="W29" i="40"/>
  <c r="U29" i="40"/>
  <c r="W82" i="40"/>
  <c r="U82" i="40"/>
  <c r="U110" i="40"/>
  <c r="W110" i="40"/>
  <c r="W75" i="40"/>
  <c r="U75" i="40"/>
  <c r="W15" i="40"/>
  <c r="U15" i="40"/>
  <c r="W31" i="40"/>
  <c r="U31" i="40"/>
  <c r="W47" i="40"/>
  <c r="U47" i="40"/>
  <c r="W63" i="40"/>
  <c r="U63" i="40"/>
  <c r="W79" i="40"/>
  <c r="U79" i="40"/>
  <c r="W55" i="40"/>
  <c r="U55" i="40"/>
  <c r="W27" i="40"/>
  <c r="U27" i="40"/>
  <c r="W61" i="40"/>
  <c r="U61" i="40"/>
  <c r="U17" i="40"/>
  <c r="W17" i="40"/>
  <c r="L2" i="39"/>
  <c r="M2" i="39" s="1"/>
  <c r="O2" i="39" s="1"/>
  <c r="Q2" i="39" s="1"/>
  <c r="M3" i="39"/>
  <c r="O3" i="39" s="1"/>
  <c r="Q3" i="39" s="1"/>
  <c r="I6" i="17"/>
  <c r="I14" i="17"/>
  <c r="I8" i="17"/>
  <c r="I7" i="17"/>
  <c r="I12" i="17"/>
  <c r="I16" i="17"/>
  <c r="I15" i="17"/>
  <c r="I13" i="17"/>
  <c r="I5" i="17"/>
  <c r="I11" i="17" l="1"/>
  <c r="I4" i="17"/>
</calcChain>
</file>

<file path=xl/sharedStrings.xml><?xml version="1.0" encoding="utf-8"?>
<sst xmlns="http://schemas.openxmlformats.org/spreadsheetml/2006/main" count="7727" uniqueCount="1071">
  <si>
    <t>State</t>
  </si>
  <si>
    <t>Rate</t>
  </si>
  <si>
    <t>Tax</t>
  </si>
  <si>
    <t>Rental</t>
  </si>
  <si>
    <t>Exclusive</t>
  </si>
  <si>
    <t>Surinder Sobti</t>
  </si>
  <si>
    <t>Manoj Aggarwal</t>
  </si>
  <si>
    <t>Akash Digital Network</t>
  </si>
  <si>
    <t>ADN</t>
  </si>
  <si>
    <t>Mukesh Saxena</t>
  </si>
  <si>
    <t>Accurate Network CTV</t>
  </si>
  <si>
    <t>ANCTV</t>
  </si>
  <si>
    <t>Mukesh Jani</t>
  </si>
  <si>
    <t>A.S. Cable Network</t>
  </si>
  <si>
    <t>Arvind Shelke</t>
  </si>
  <si>
    <t>Bajaj Cable Network</t>
  </si>
  <si>
    <t>Punish Bajaj</t>
  </si>
  <si>
    <t>BHARTI</t>
  </si>
  <si>
    <t>Bhatia Cable TV Network</t>
  </si>
  <si>
    <t>Rakesh Bhatia</t>
  </si>
  <si>
    <t>Sri Manjunatha Star Vision</t>
  </si>
  <si>
    <t>SMSV</t>
  </si>
  <si>
    <t>Jay Video</t>
  </si>
  <si>
    <t>CHANAKYA DIGITAL CABLE</t>
  </si>
  <si>
    <t>CDC</t>
  </si>
  <si>
    <t>SANJAY B.N.</t>
  </si>
  <si>
    <t>CLASSIC</t>
  </si>
  <si>
    <t>DDCN</t>
  </si>
  <si>
    <t>Geethanjali Cable Network</t>
  </si>
  <si>
    <t>GECN</t>
  </si>
  <si>
    <t>Narayan Swamy</t>
  </si>
  <si>
    <t>INDIAN CABLE NET COMPANY LIMITED</t>
  </si>
  <si>
    <t>jai maa kali cable network</t>
  </si>
  <si>
    <t>JMKL</t>
  </si>
  <si>
    <t>Ajeet</t>
  </si>
  <si>
    <t>kamtanath cebil system</t>
  </si>
  <si>
    <t>KACS</t>
  </si>
  <si>
    <t>brjesh pratap dube</t>
  </si>
  <si>
    <t>V2CABLE LINKS</t>
  </si>
  <si>
    <t>KRISHNAMURTHY S G</t>
  </si>
  <si>
    <t>Kwality Communication</t>
  </si>
  <si>
    <t>Amit Lohiya</t>
  </si>
  <si>
    <t>Magic Vision Cable Network</t>
  </si>
  <si>
    <t>Manoranjan Network</t>
  </si>
  <si>
    <t>Mehra Cable Network</t>
  </si>
  <si>
    <t>MCN</t>
  </si>
  <si>
    <t>Kulyesh Mehra</t>
  </si>
  <si>
    <t>MCTN</t>
  </si>
  <si>
    <t>Manoj Kumar Phutela</t>
  </si>
  <si>
    <t>Media Cable TV</t>
  </si>
  <si>
    <t>Naveen Electronics &amp; Cable</t>
  </si>
  <si>
    <t>NEC</t>
  </si>
  <si>
    <t>Naveeen Kumar</t>
  </si>
  <si>
    <t>NTCNO</t>
  </si>
  <si>
    <t>rajesh chauhan</t>
  </si>
  <si>
    <t>Omkar Cable Services</t>
  </si>
  <si>
    <t>OMKAR</t>
  </si>
  <si>
    <t>Gajanan Mahadeo Sarvankar</t>
  </si>
  <si>
    <t>SHRI VISION</t>
  </si>
  <si>
    <t>PRV</t>
  </si>
  <si>
    <t>RAKESH GUPTA(KOLI)</t>
  </si>
  <si>
    <t>Vijaypal Singh Pundir</t>
  </si>
  <si>
    <t>RCI</t>
  </si>
  <si>
    <t>RAVI KUMAR G</t>
  </si>
  <si>
    <t>Sai Electronics</t>
  </si>
  <si>
    <t>SAI CHANNEL</t>
  </si>
  <si>
    <t>SAIC</t>
  </si>
  <si>
    <t>Hemant j. chiplunkar</t>
  </si>
  <si>
    <t>Sandeep Communication</t>
  </si>
  <si>
    <t>SCM</t>
  </si>
  <si>
    <t>Santhosh Kumar Janardhanan</t>
  </si>
  <si>
    <t>Sharma Cable Network</t>
  </si>
  <si>
    <t>Parmeshwari Sharma</t>
  </si>
  <si>
    <t>SGE</t>
  </si>
  <si>
    <t>Ashok Bhat</t>
  </si>
  <si>
    <t>Umeshbhai Patel</t>
  </si>
  <si>
    <t>Shivas Cable</t>
  </si>
  <si>
    <t>Shiv</t>
  </si>
  <si>
    <t>SHYAMA CABLE NETWORK</t>
  </si>
  <si>
    <t>Sunil Sasan</t>
  </si>
  <si>
    <t>SMCN</t>
  </si>
  <si>
    <t>Somashekhar</t>
  </si>
  <si>
    <t>SRE</t>
  </si>
  <si>
    <t>STARCN</t>
  </si>
  <si>
    <t>Swasthik Cable TV Pachanady</t>
  </si>
  <si>
    <t>Yashwanth</t>
  </si>
  <si>
    <t>Tarini cable network</t>
  </si>
  <si>
    <t>TARINI</t>
  </si>
  <si>
    <t>Transmissions</t>
  </si>
  <si>
    <t>TMS</t>
  </si>
  <si>
    <t>Thriveni Sangam Cable TV Network</t>
  </si>
  <si>
    <t>TSCN</t>
  </si>
  <si>
    <t>V-5 Digital Network</t>
  </si>
  <si>
    <t>V5DN</t>
  </si>
  <si>
    <t>Gopinath Kaveti</t>
  </si>
  <si>
    <t>VARUNSTAR</t>
  </si>
  <si>
    <t>N K Nagabushana</t>
  </si>
  <si>
    <t>Shakti Sharma</t>
  </si>
  <si>
    <t>VICKY CABLE NETWORK</t>
  </si>
  <si>
    <t>Vikram Cable Network</t>
  </si>
  <si>
    <t>VICN</t>
  </si>
  <si>
    <t>Vikram L Chindaliya</t>
  </si>
  <si>
    <t>Ajay Nemade</t>
  </si>
  <si>
    <t>VMS</t>
  </si>
  <si>
    <t>Sharad Malhotra</t>
  </si>
  <si>
    <t>Win Cable Network Pvt Ltd</t>
  </si>
  <si>
    <t>WIN</t>
  </si>
  <si>
    <t>Mukesh Chaudhary</t>
  </si>
  <si>
    <t>W &amp; J Cable Service</t>
  </si>
  <si>
    <t>WJC</t>
  </si>
  <si>
    <t>Jugnu M Gandhi</t>
  </si>
  <si>
    <t>WorldWide Satellite Cable Network</t>
  </si>
  <si>
    <t>WSCN</t>
  </si>
  <si>
    <t>Sanjeet Ramniklal Shah</t>
  </si>
  <si>
    <t>WVD</t>
  </si>
  <si>
    <t>Ashok Sehdev</t>
  </si>
  <si>
    <t>YDN</t>
  </si>
  <si>
    <t>CNMS ON-Net Standard</t>
  </si>
  <si>
    <t>Jitendra Gupta / Nandkishore</t>
  </si>
  <si>
    <t>Y.V.N Cable Network</t>
  </si>
  <si>
    <t>YVN</t>
  </si>
  <si>
    <t>R.K.Sethi</t>
  </si>
  <si>
    <t>BHARTI CABLE NETWORK</t>
  </si>
  <si>
    <t>BHARTICN</t>
  </si>
  <si>
    <t>DAS BROADBAND DIGITAL COMMUNICATION PVT. LTD.</t>
  </si>
  <si>
    <t>D4U</t>
  </si>
  <si>
    <t>MOHAMMED HANIF SHAIKH</t>
  </si>
  <si>
    <t>Company Owner</t>
  </si>
  <si>
    <t>Company Name</t>
  </si>
  <si>
    <t>Closing Connections</t>
  </si>
  <si>
    <t>Total Rental Amount</t>
  </si>
  <si>
    <t>SSBCN</t>
  </si>
  <si>
    <t>Rajkumar</t>
  </si>
  <si>
    <t>ssdm</t>
  </si>
  <si>
    <t>Jayesh Pandya</t>
  </si>
  <si>
    <t>DDC</t>
  </si>
  <si>
    <t>Ravi Gupta</t>
  </si>
  <si>
    <t xml:space="preserve">Narayan Swamy </t>
  </si>
  <si>
    <t>Gourav Sachdeva</t>
  </si>
  <si>
    <t>Wilson</t>
  </si>
  <si>
    <t>dalora</t>
  </si>
  <si>
    <t>Kaniha Lal</t>
  </si>
  <si>
    <t>pundir</t>
  </si>
  <si>
    <t>maruthi</t>
  </si>
  <si>
    <t>murali</t>
  </si>
  <si>
    <t>maruthi cables</t>
  </si>
  <si>
    <t>Shivas</t>
  </si>
  <si>
    <t>vicky</t>
  </si>
  <si>
    <t>BHASKAR YASHWANT GHADWAJE</t>
  </si>
  <si>
    <t>venus</t>
  </si>
  <si>
    <t>jaiambey</t>
  </si>
  <si>
    <t>Mehendra Kumar</t>
  </si>
  <si>
    <t>Magic</t>
  </si>
  <si>
    <t>New Tehri cable network</t>
  </si>
  <si>
    <t>wcs</t>
  </si>
  <si>
    <t>Arun Kumar</t>
  </si>
  <si>
    <t>ascable</t>
  </si>
  <si>
    <t>acc</t>
  </si>
  <si>
    <t>bhatia</t>
  </si>
  <si>
    <t>M KESHAVAIAH NAIDU</t>
  </si>
  <si>
    <t>vision</t>
  </si>
  <si>
    <t>Kadur</t>
  </si>
  <si>
    <t>skychannel</t>
  </si>
  <si>
    <t>Ishwari</t>
  </si>
  <si>
    <t>shivam</t>
  </si>
  <si>
    <t>media</t>
  </si>
  <si>
    <t>Manoj Kumar</t>
  </si>
  <si>
    <t>scnkullu</t>
  </si>
  <si>
    <t>Bajaj</t>
  </si>
  <si>
    <t>shyama</t>
  </si>
  <si>
    <t>RAKESH</t>
  </si>
  <si>
    <t>11111</t>
  </si>
  <si>
    <t>Sobti Digital Cable</t>
  </si>
  <si>
    <t>kwality</t>
  </si>
  <si>
    <t>sai</t>
  </si>
  <si>
    <t>Anvit</t>
  </si>
  <si>
    <t>Bharath</t>
  </si>
  <si>
    <t>Wilson pinto</t>
  </si>
  <si>
    <t>Bharath electronics</t>
  </si>
  <si>
    <t>swasthikp</t>
  </si>
  <si>
    <t>Hasmukh Ghelot</t>
  </si>
  <si>
    <t>Final Base Amount</t>
  </si>
  <si>
    <t>Total</t>
  </si>
  <si>
    <t>R-Soft/On-Net</t>
  </si>
  <si>
    <t>Status (Rental/Outright)</t>
  </si>
  <si>
    <t>Contact Person Name</t>
  </si>
  <si>
    <t>RAVI</t>
  </si>
  <si>
    <t>Rajesh Kumar</t>
  </si>
  <si>
    <t>V4u</t>
  </si>
  <si>
    <t>Shri Laxmi Narayan Cable Network</t>
  </si>
  <si>
    <t>SLNCN</t>
  </si>
  <si>
    <t>BRIGHTER &amp; BRIGHTER TECHNOLOGY</t>
  </si>
  <si>
    <t>BSCB</t>
  </si>
  <si>
    <t>JCC</t>
  </si>
  <si>
    <t>MINIMUM BILLING</t>
  </si>
  <si>
    <t>Mahesh Vasant Joshi</t>
  </si>
  <si>
    <t>icncl</t>
  </si>
  <si>
    <t>D.K.SETHIA</t>
  </si>
  <si>
    <t>surender kumar</t>
  </si>
  <si>
    <t>Navneet Sethi</t>
  </si>
  <si>
    <t>Netaji Dadarao Kashid</t>
  </si>
  <si>
    <t>Discount</t>
  </si>
  <si>
    <t>Ratilal Gupta</t>
  </si>
  <si>
    <t>RKC</t>
  </si>
  <si>
    <t>Gururaj S Mankar</t>
  </si>
  <si>
    <t>R K Cable Network</t>
  </si>
  <si>
    <t xml:space="preserve">bharat bhushan </t>
  </si>
  <si>
    <t>bharat bhushan</t>
  </si>
  <si>
    <t>star cable  network</t>
  </si>
  <si>
    <t>brighter</t>
  </si>
  <si>
    <t>SCNPL</t>
  </si>
  <si>
    <t>SSCV</t>
  </si>
  <si>
    <t>SITI SAISTAR DIGITAL MEDIA PVT LTD</t>
  </si>
  <si>
    <t>DDC CATV NETWORK PVT LTD</t>
  </si>
  <si>
    <t>SHRI SHYAM BABA CABLE NETWORK</t>
  </si>
  <si>
    <t>Lakshmi Kanta Bera</t>
  </si>
  <si>
    <t>Chabbi</t>
  </si>
  <si>
    <t>Venus communication</t>
  </si>
  <si>
    <t>SKY NETWORKS</t>
  </si>
  <si>
    <t>Shree Ganesh Enterprises</t>
  </si>
  <si>
    <t>SHIVAM VISION</t>
  </si>
  <si>
    <t>WORLD VIDEO</t>
  </si>
  <si>
    <t>AGRAWAL CABLE COMMUNICATION</t>
  </si>
  <si>
    <t>Pundir Star Digital Network</t>
  </si>
  <si>
    <t>JAI AMBEY CABLE NETWORK</t>
  </si>
  <si>
    <t>Manoj juneja</t>
  </si>
  <si>
    <t>Sanjeev chetwani</t>
  </si>
  <si>
    <t>Vimal Gulati</t>
  </si>
  <si>
    <t>Shree Shakti Channel Vision</t>
  </si>
  <si>
    <t>Ravi Cable &amp; Internet Providers</t>
  </si>
  <si>
    <t>YASH DIGITAL NETWORK</t>
  </si>
  <si>
    <t>Nathan</t>
  </si>
  <si>
    <t>A.Sasikumar</t>
  </si>
  <si>
    <t>Nathan Cable Vision</t>
  </si>
  <si>
    <t>Basanta Kumar Sahoo</t>
  </si>
  <si>
    <t>V4U MEDIA PVT LTD</t>
  </si>
  <si>
    <t>Delhi</t>
  </si>
  <si>
    <t>Maharashtra</t>
  </si>
  <si>
    <t>Pawan Kumar</t>
  </si>
  <si>
    <t>Haryana</t>
  </si>
  <si>
    <t>Rajasthan</t>
  </si>
  <si>
    <t>Gujarat</t>
  </si>
  <si>
    <t>Madhya Pradesh</t>
  </si>
  <si>
    <t>Uttar Pradesh</t>
  </si>
  <si>
    <t>Suhas A .Rangnekar</t>
  </si>
  <si>
    <t>Uttarakhand</t>
  </si>
  <si>
    <t>Karnataka</t>
  </si>
  <si>
    <t>West Bengal</t>
  </si>
  <si>
    <t>Punjab</t>
  </si>
  <si>
    <t>Kerala</t>
  </si>
  <si>
    <t>Tamil Nadu</t>
  </si>
  <si>
    <t>Himachal Pradesh</t>
  </si>
  <si>
    <t>SANJAY CABLE NETWORK PVT.  LTD.</t>
  </si>
  <si>
    <t>Shiva Gowda</t>
  </si>
  <si>
    <t>Hemanth Raghvendra</t>
  </si>
  <si>
    <t>Manoj Sharma</t>
  </si>
  <si>
    <t>Assam</t>
  </si>
  <si>
    <t>M.KESHAVAIAH NAIDU</t>
  </si>
  <si>
    <t>Jharkhand</t>
  </si>
  <si>
    <t>sargam</t>
  </si>
  <si>
    <t>Pradeep Dehankar</t>
  </si>
  <si>
    <t>Shwetha</t>
  </si>
  <si>
    <t>GLOBAL</t>
  </si>
  <si>
    <t>Final Payable</t>
  </si>
  <si>
    <t>ADJ</t>
  </si>
  <si>
    <t>RAKESH SABLOK</t>
  </si>
  <si>
    <t>Odisha</t>
  </si>
  <si>
    <t>SBDCN</t>
  </si>
  <si>
    <t>Harish Chandra Mishra</t>
  </si>
  <si>
    <t>cvmploffice</t>
  </si>
  <si>
    <t>Gagan Arora</t>
  </si>
  <si>
    <t>CRYSTAL VISION MEDIA PRIVATE LIMITED</t>
  </si>
  <si>
    <t>surya</t>
  </si>
  <si>
    <t>Rajesh Sharma</t>
  </si>
  <si>
    <t>Pawan gupta, Vikas</t>
  </si>
  <si>
    <t>STEK</t>
  </si>
  <si>
    <t>SATISH M.P.</t>
  </si>
  <si>
    <t>PRADEEP T.D.</t>
  </si>
  <si>
    <t>S-TEK COMMUNICATION</t>
  </si>
  <si>
    <t>SURENDER SEHRAWAT</t>
  </si>
  <si>
    <t>CLASSIC CABLE NETWORK</t>
  </si>
  <si>
    <t>Somashekar</t>
  </si>
  <si>
    <t>Ganesh Dubey</t>
  </si>
  <si>
    <t>Cable Operator ID</t>
  </si>
  <si>
    <t>KARTIK DEY</t>
  </si>
  <si>
    <t>ENHANCE</t>
  </si>
  <si>
    <t>Padam singh rajput</t>
  </si>
  <si>
    <t>Enhance multi trade pvt ltd</t>
  </si>
  <si>
    <t>Wire Communication System</t>
  </si>
  <si>
    <t>SNCN</t>
  </si>
  <si>
    <t>vision cable network</t>
  </si>
  <si>
    <t>jayvideo</t>
  </si>
  <si>
    <t>Anil Kumar N. Dhabi</t>
  </si>
  <si>
    <t xml:space="preserve">Hari SIngh </t>
  </si>
  <si>
    <t>Shri Naina Cable Network</t>
  </si>
  <si>
    <t>Shree Manoranjan Cable Tv Network</t>
  </si>
  <si>
    <t>Sourabh</t>
  </si>
  <si>
    <t>Om Raj Purohit</t>
  </si>
  <si>
    <t>Manoranjan</t>
  </si>
  <si>
    <t>Javed Naseer Khan</t>
  </si>
  <si>
    <t>VM DIGITAL NETWORKS PRIVATE LIMITED</t>
  </si>
  <si>
    <t>Hari SIngh</t>
  </si>
  <si>
    <t>DIGIANA</t>
  </si>
  <si>
    <t>Sukhdev Singh Ghuman</t>
  </si>
  <si>
    <t>Sanjay Sood</t>
  </si>
  <si>
    <t>Digiana Projects Private Limited</t>
  </si>
  <si>
    <t>SIGNET</t>
  </si>
  <si>
    <t>CNMS ON-Net Professional</t>
  </si>
  <si>
    <t>DOLORA CABLE NETWORK</t>
  </si>
  <si>
    <t>MCT</t>
  </si>
  <si>
    <t>AASHISH SHIRKE</t>
  </si>
  <si>
    <t>Bharti Auti</t>
  </si>
  <si>
    <t>AASHISH CABLE NET I PVT LTD</t>
  </si>
  <si>
    <t>VARUN ENTERPRISES</t>
  </si>
  <si>
    <t>Chandrashekhar Naik</t>
  </si>
  <si>
    <t>Amardeep ajgaokar</t>
  </si>
  <si>
    <t>Signet digital private limited</t>
  </si>
  <si>
    <t>MODERN</t>
  </si>
  <si>
    <t>Maninder Singh</t>
  </si>
  <si>
    <t>Modern Video Lab and Cable Network</t>
  </si>
  <si>
    <t>GVCN</t>
  </si>
  <si>
    <t>Mr.PRAMOD YADAV</t>
  </si>
  <si>
    <t>ABC</t>
  </si>
  <si>
    <t>AMANDEEP SINGH</t>
  </si>
  <si>
    <t>Amandeep Singh</t>
  </si>
  <si>
    <t>AB CABLE TV NETWORK</t>
  </si>
  <si>
    <t>DRISHTI</t>
  </si>
  <si>
    <t>Ranjoy Sarkar</t>
  </si>
  <si>
    <t>Drishti Netcom</t>
  </si>
  <si>
    <t>COMSET</t>
  </si>
  <si>
    <t>HItech</t>
  </si>
  <si>
    <t>MR.KRISHNAN</t>
  </si>
  <si>
    <t>Mr.Krishnan</t>
  </si>
  <si>
    <t>SIDDHIVINAYAK NETWORKS PVT LTD</t>
  </si>
  <si>
    <t>Shri Badri Kedar Digital cable Network</t>
  </si>
  <si>
    <t>PLANET</t>
  </si>
  <si>
    <t>Siji P Chandran</t>
  </si>
  <si>
    <t>siji P chandran</t>
  </si>
  <si>
    <t>Planet Cablenet</t>
  </si>
  <si>
    <t>TDCN</t>
  </si>
  <si>
    <t>Satish Kalra</t>
  </si>
  <si>
    <t>Chanchal Tiwari</t>
  </si>
  <si>
    <t>Tushar Digital Cable Network</t>
  </si>
  <si>
    <t>SKCV</t>
  </si>
  <si>
    <t>Pravinbhai Deshmukh</t>
  </si>
  <si>
    <t>Paresh</t>
  </si>
  <si>
    <t>Sri Krishna Cable Vision</t>
  </si>
  <si>
    <t>SYCN</t>
  </si>
  <si>
    <t>Ketan Dalal Biharilal</t>
  </si>
  <si>
    <t>Shree Yamuna Cable Network</t>
  </si>
  <si>
    <t>CHAND</t>
  </si>
  <si>
    <t>Md. Chand</t>
  </si>
  <si>
    <t>Md. Chand Cable Television Network</t>
  </si>
  <si>
    <t>ABCB</t>
  </si>
  <si>
    <t>RAKESH GUPTA KOLI</t>
  </si>
  <si>
    <t>SOURABHC</t>
  </si>
  <si>
    <t>Sourabh cable</t>
  </si>
  <si>
    <t>SURYA CABLE TV NETWORK</t>
  </si>
  <si>
    <t>Sri Raghavendra Enterprises</t>
  </si>
  <si>
    <t>MARUTHIE</t>
  </si>
  <si>
    <t>Sridhar KM</t>
  </si>
  <si>
    <t>SHILPA G</t>
  </si>
  <si>
    <t>Maruthi Enterprises</t>
  </si>
  <si>
    <t>Operator ID</t>
  </si>
  <si>
    <t>Company</t>
  </si>
  <si>
    <t>VCPL</t>
  </si>
  <si>
    <t>Sanjay Palav</t>
  </si>
  <si>
    <t xml:space="preserve">Santosh </t>
  </si>
  <si>
    <t>VCPL Network Pvt Ltd</t>
  </si>
  <si>
    <t>JMDCB</t>
  </si>
  <si>
    <t>RAKESH CHAUHAN</t>
  </si>
  <si>
    <t>JMD CABLE NETWORK</t>
  </si>
  <si>
    <t>Operator</t>
  </si>
  <si>
    <t>TRIPLE PLAY TELECOM PRIVATE LIMITED</t>
  </si>
  <si>
    <t>abbys</t>
  </si>
  <si>
    <t>S Srinivasan</t>
  </si>
  <si>
    <t>Abbys Telelinks</t>
  </si>
  <si>
    <t>UDNPL</t>
  </si>
  <si>
    <t>Manjunath</t>
  </si>
  <si>
    <t>U Digital network Pvt Ltd</t>
  </si>
  <si>
    <t>SSS</t>
  </si>
  <si>
    <t>Vinesh Gunvantrai Desai</t>
  </si>
  <si>
    <t>Shraddha Kandy</t>
  </si>
  <si>
    <t>Shree Sai Satellite</t>
  </si>
  <si>
    <t>SSVCN</t>
  </si>
  <si>
    <t>Anil Vartak</t>
  </si>
  <si>
    <t>Priya Gharat</t>
  </si>
  <si>
    <t>Suvidha Star Vision</t>
  </si>
  <si>
    <t>SDCS</t>
  </si>
  <si>
    <t>RAJENDRA MURLIDHAR MULIK</t>
  </si>
  <si>
    <t>SHREE DIGITAL CABLE SYSTEM</t>
  </si>
  <si>
    <t>JMKB</t>
  </si>
  <si>
    <t>Ranjit</t>
  </si>
  <si>
    <t>JMK Broadband</t>
  </si>
  <si>
    <t>S. No.</t>
  </si>
  <si>
    <t>STCE</t>
  </si>
  <si>
    <t>Madhur Rathore</t>
  </si>
  <si>
    <t>LKCN</t>
  </si>
  <si>
    <t xml:space="preserve">Sunetra Mahesh Joshi </t>
  </si>
  <si>
    <t>Mahesh Vasan</t>
  </si>
  <si>
    <t>Laxmi Keshav Cable Network</t>
  </si>
  <si>
    <t>SARGAM NET</t>
  </si>
  <si>
    <t>BDS</t>
  </si>
  <si>
    <t>SARABPREET SINGH</t>
  </si>
  <si>
    <t xml:space="preserve">Sarabpreet Singh </t>
  </si>
  <si>
    <t>BDS BROADBAND</t>
  </si>
  <si>
    <t>Sanjay TV Communication &amp; Electricals</t>
  </si>
  <si>
    <t>SWASTIK</t>
  </si>
  <si>
    <t>Ananta Vanarase</t>
  </si>
  <si>
    <t>Swastik Cable Network</t>
  </si>
  <si>
    <t>MUSKAN COMMUNICATION</t>
  </si>
  <si>
    <t>YASH GUPTA</t>
  </si>
  <si>
    <t>Mukta Dey</t>
  </si>
  <si>
    <t>JCC NETWORK</t>
  </si>
  <si>
    <t>ROHIT NETAJI KASHID</t>
  </si>
  <si>
    <t>MANOSHI MANNA</t>
  </si>
  <si>
    <t>Suman Sey</t>
  </si>
  <si>
    <t>BARGABHIMA CABLE AND BROADBAND SERVICES</t>
  </si>
  <si>
    <t>S.no.</t>
  </si>
  <si>
    <t>OPID</t>
  </si>
  <si>
    <t>Contitions</t>
  </si>
  <si>
    <t>Invoice to be raised on 10% discount.</t>
  </si>
  <si>
    <t>SHIVAMCN</t>
  </si>
  <si>
    <t>BUDHI SINGH PANWAR</t>
  </si>
  <si>
    <t>SHIVAM CABLE NETWORK</t>
  </si>
  <si>
    <t>balaji</t>
  </si>
  <si>
    <t>SHSCV</t>
  </si>
  <si>
    <t>Janardan Ragunath Bhoir</t>
  </si>
  <si>
    <t>9890018977</t>
  </si>
  <si>
    <t>Shree Santoshi Cable Vision</t>
  </si>
  <si>
    <t>Surya</t>
  </si>
  <si>
    <t>Bill change to 10k at 1+tax from 1 april</t>
  </si>
  <si>
    <t>Surya Cable</t>
  </si>
  <si>
    <t>Alok Bindu Cable</t>
  </si>
  <si>
    <t>Bill change to 7K at 1+tax from 1 april</t>
  </si>
  <si>
    <t>₹2 + Taxes </t>
  </si>
  <si>
    <t>₹1.50 + Taxes </t>
  </si>
  <si>
    <t>VARSHA</t>
  </si>
  <si>
    <t>Integration Client and Effective Date 01-04-2024</t>
  </si>
  <si>
    <t>SKCTV</t>
  </si>
  <si>
    <t>Mahinder Kumar</t>
  </si>
  <si>
    <t>Saurabh cable</t>
  </si>
  <si>
    <t>Integration Removed May-2024</t>
  </si>
  <si>
    <t>MARUTHID</t>
  </si>
  <si>
    <t>Ishwer Sankhla</t>
  </si>
  <si>
    <t>Maruthi  Digital</t>
  </si>
  <si>
    <t>AutoBill Status</t>
  </si>
  <si>
    <t>R-Soft SMS</t>
  </si>
  <si>
    <t xml:space="preserve">Recheck OP Basic </t>
  </si>
  <si>
    <t>Result 1</t>
  </si>
  <si>
    <t>Result 2</t>
  </si>
  <si>
    <t>PCCB</t>
  </si>
  <si>
    <t>Umesh Chand Bagrecha</t>
  </si>
  <si>
    <t>Padmesh Citi Cable</t>
  </si>
  <si>
    <t>TEJAS</t>
  </si>
  <si>
    <t>VIDYA KRISHNARAO DESHMUKH</t>
  </si>
  <si>
    <t>TEJAS CABLE NETWORK</t>
  </si>
  <si>
    <t>ANITS</t>
  </si>
  <si>
    <t>Abbys</t>
  </si>
  <si>
    <t>VCLUB</t>
  </si>
  <si>
    <t>MOHD ABDULLAH FAHEEM</t>
  </si>
  <si>
    <t>Vision Club</t>
  </si>
  <si>
    <t>Telangana</t>
  </si>
  <si>
    <t>KUMAR</t>
  </si>
  <si>
    <t>Gaurav Kumar</t>
  </si>
  <si>
    <t>Amit</t>
  </si>
  <si>
    <t>Kumar Cable Network</t>
  </si>
  <si>
    <t>IQABL</t>
  </si>
  <si>
    <t>Ikab Singh Chhabra</t>
  </si>
  <si>
    <t>Mrs. Iqabl Singh Chhabra</t>
  </si>
  <si>
    <t>Client Discontinued - 5</t>
  </si>
  <si>
    <t>This Month Billing Count:</t>
  </si>
  <si>
    <t>R-Soft - 21</t>
  </si>
  <si>
    <t>Last Month's Billing Count:</t>
  </si>
  <si>
    <t>Billing Details as on 01-10-2024</t>
  </si>
  <si>
    <t>ACNNET          Monthly Count 1000</t>
  </si>
  <si>
    <t>BHUSHAN      Monthly Count 1800</t>
  </si>
  <si>
    <t>VISHAL          Monthly Count 500</t>
  </si>
  <si>
    <t>SHREYA        Monthly Count 500</t>
  </si>
  <si>
    <t>PUSHP       Monthly Count 2000</t>
  </si>
  <si>
    <t xml:space="preserve">KKBCV        Monthly Count 500       </t>
  </si>
  <si>
    <t>New Onboarding - 1</t>
  </si>
  <si>
    <t>OMCN -On-Net Lite</t>
  </si>
  <si>
    <t>TCTN -On-Net Lite</t>
  </si>
  <si>
    <t>NCCTV -On-Net Lite</t>
  </si>
  <si>
    <t>LCN -On-Net Lite</t>
  </si>
  <si>
    <t>PRINCEC -On-Net Lite</t>
  </si>
  <si>
    <t>PUSHPLATA -On-Net Lite</t>
  </si>
  <si>
    <t>Under Deployment - 6</t>
  </si>
  <si>
    <t>CNMS-On Net - 133</t>
  </si>
  <si>
    <t>Total - 154</t>
  </si>
  <si>
    <t>CNMS-On Net - 137</t>
  </si>
  <si>
    <t>Total - 158</t>
  </si>
  <si>
    <t>KATARIA</t>
  </si>
  <si>
    <t>DHARAMVIR SINGH</t>
  </si>
  <si>
    <t>Ranjeet</t>
  </si>
  <si>
    <t>KATARIA CABLES</t>
  </si>
  <si>
    <t>RAICABLE</t>
  </si>
  <si>
    <t xml:space="preserve">VJVISION </t>
  </si>
  <si>
    <t>VJVISION</t>
  </si>
  <si>
    <t>RGT</t>
  </si>
  <si>
    <t>Harish Raghuwanshi</t>
  </si>
  <si>
    <t>Raghuwansh Techcon</t>
  </si>
  <si>
    <t>SIGNETONNET</t>
  </si>
  <si>
    <t>Amardeep</t>
  </si>
  <si>
    <t>Chirag</t>
  </si>
  <si>
    <t>Signet Digital Private Limited</t>
  </si>
  <si>
    <t>Row Labels</t>
  </si>
  <si>
    <t>Grand Total</t>
  </si>
  <si>
    <t>Count of Cable Operator ID</t>
  </si>
  <si>
    <t>OLD</t>
  </si>
  <si>
    <t>Helper</t>
  </si>
  <si>
    <t>SDCV</t>
  </si>
  <si>
    <t>SAGAR GANESHBHAI SAWANT</t>
  </si>
  <si>
    <t>SAI DRASHTI CABLE VISION</t>
  </si>
  <si>
    <t>NEW</t>
  </si>
  <si>
    <r>
      <t xml:space="preserve">*📢 </t>
    </r>
    <r>
      <rPr>
        <i/>
        <sz val="11"/>
        <color theme="1"/>
        <rFont val="Calibri"/>
        <family val="2"/>
        <scheme val="minor"/>
      </rPr>
      <t>Billing Details Update</t>
    </r>
    <r>
      <rPr>
        <sz val="11"/>
        <color theme="1"/>
        <rFont val="Calibri"/>
        <family val="2"/>
        <scheme val="minor"/>
      </rPr>
      <t xml:space="preserve"> 📢*</t>
    </r>
  </si>
  <si>
    <t>*📅 Previous Month Billing Count:*</t>
  </si>
  <si>
    <r>
      <t xml:space="preserve">*📅 </t>
    </r>
    <r>
      <rPr>
        <b/>
        <i/>
        <sz val="11"/>
        <color theme="1"/>
        <rFont val="Calibri"/>
        <family val="2"/>
        <scheme val="minor"/>
      </rPr>
      <t>Current Month Billing Count:*</t>
    </r>
  </si>
  <si>
    <t>*🆕 New Billing This Month*</t>
  </si>
  <si>
    <t>*❌ Clients Discontinued This Month:*</t>
  </si>
  <si>
    <t>CNMS ON-Net Professional:</t>
  </si>
  <si>
    <t>Operator Name</t>
  </si>
  <si>
    <t>Contact Person</t>
  </si>
  <si>
    <t>Purchase Type</t>
  </si>
  <si>
    <t>DAS Zone</t>
  </si>
  <si>
    <t>Expiry Date</t>
  </si>
  <si>
    <t>Grace Days</t>
  </si>
  <si>
    <t>Grace Expiry Date</t>
  </si>
  <si>
    <t>BlockDate</t>
  </si>
  <si>
    <t>Product Code</t>
  </si>
  <si>
    <t>1st closing Conn</t>
  </si>
  <si>
    <t>2nd closing Conn</t>
  </si>
  <si>
    <t>Last Month Conn</t>
  </si>
  <si>
    <t>Payment type</t>
  </si>
  <si>
    <t>Status</t>
  </si>
  <si>
    <t>JCNN</t>
  </si>
  <si>
    <t>Nitin gopal Jadhav</t>
  </si>
  <si>
    <t>Jadhav Cable Network</t>
  </si>
  <si>
    <t>SGCN</t>
  </si>
  <si>
    <t>Bhagwan Sukhadev Donde</t>
  </si>
  <si>
    <t>SWASTIK-NET</t>
  </si>
  <si>
    <t>Client Discontinue</t>
  </si>
  <si>
    <t>Abrar-NET</t>
  </si>
  <si>
    <t>Netmanazer</t>
  </si>
  <si>
    <t>Om Sai Cable Network</t>
  </si>
  <si>
    <t>Abrar Cable Network</t>
  </si>
  <si>
    <t>Saikh Abrar Ahmad</t>
  </si>
  <si>
    <t>IFERROR(VLOOKUP($B2, OLD!$B:$W, MATCH($J$1, OLD!$B$1:$W$1, 0), FALSE), "")</t>
  </si>
  <si>
    <t>NetManazer</t>
  </si>
  <si>
    <t>R-Soft IPTV</t>
  </si>
  <si>
    <t>Jcnn</t>
  </si>
  <si>
    <t>DueAmt</t>
  </si>
  <si>
    <t>Wallet</t>
  </si>
  <si>
    <t>Minimum Conn</t>
  </si>
  <si>
    <t>GST</t>
  </si>
  <si>
    <t>(blank)</t>
  </si>
  <si>
    <t>TaxType</t>
  </si>
  <si>
    <t>Qty From Range</t>
  </si>
  <si>
    <t>Qty To Range</t>
  </si>
  <si>
    <t>MCAN</t>
  </si>
  <si>
    <t>Matangeshwar Cable Network</t>
  </si>
  <si>
    <t>Kapil</t>
  </si>
  <si>
    <t>VENU</t>
  </si>
  <si>
    <t>Namdeo Ugale</t>
  </si>
  <si>
    <t>Vinayak Electronics</t>
  </si>
  <si>
    <t>*🚫 Blocked This Month:*</t>
  </si>
  <si>
    <t>_CNMS ON-Net Standard:_</t>
  </si>
  <si>
    <t>DAS</t>
  </si>
  <si>
    <t/>
  </si>
  <si>
    <t>R-Soft-SMS</t>
  </si>
  <si>
    <t>Postpaid</t>
  </si>
  <si>
    <t>Active</t>
  </si>
  <si>
    <t>AMC</t>
  </si>
  <si>
    <t xml:space="preserve">Mostafa Hossian alam </t>
  </si>
  <si>
    <t xml:space="preserve">jeet Roy </t>
  </si>
  <si>
    <t>AMC Digital Cabletv Netwotk</t>
  </si>
  <si>
    <t>Dhaka Division</t>
  </si>
  <si>
    <t>31-Oct-2020</t>
  </si>
  <si>
    <t>871 (Aug-2021)</t>
  </si>
  <si>
    <t>Prepaid</t>
  </si>
  <si>
    <t>BDPCN</t>
  </si>
  <si>
    <t>Asikur Rahman</t>
  </si>
  <si>
    <t>Prime Cable Network Digital</t>
  </si>
  <si>
    <t>Rangpur Division</t>
  </si>
  <si>
    <t>31-Aug-2020</t>
  </si>
  <si>
    <t>KCNG</t>
  </si>
  <si>
    <t>Gaibandha</t>
  </si>
  <si>
    <t>Kenderio Cable Network</t>
  </si>
  <si>
    <t>30-Sep-2024</t>
  </si>
  <si>
    <t>Non-DAS</t>
  </si>
  <si>
    <t>NCN</t>
  </si>
  <si>
    <t>S.R.Babajan</t>
  </si>
  <si>
    <t>Neha Cable Network</t>
  </si>
  <si>
    <t>SCABN</t>
  </si>
  <si>
    <t>Sandip</t>
  </si>
  <si>
    <t>Shree Cable Network</t>
  </si>
  <si>
    <t>HARSH</t>
  </si>
  <si>
    <t>Harsh  Raghuvanshi</t>
  </si>
  <si>
    <t>Harsh Cable Network</t>
  </si>
  <si>
    <t>500000 (Jun-2025)</t>
  </si>
  <si>
    <t>500000 (Nov-2025)</t>
  </si>
  <si>
    <t>GUJFI</t>
  </si>
  <si>
    <t>Gujrat Wifi</t>
  </si>
  <si>
    <t>Naresh Patel</t>
  </si>
  <si>
    <t>KCNS</t>
  </si>
  <si>
    <t>Kranti Cable</t>
  </si>
  <si>
    <t>Sunil</t>
  </si>
  <si>
    <t>PALACE</t>
  </si>
  <si>
    <t>Palace Cable Tv Network</t>
  </si>
  <si>
    <t>Muhammad Sarwar</t>
  </si>
  <si>
    <t>SBNET</t>
  </si>
  <si>
    <t>Signet Broadband Pvt Ltd</t>
  </si>
  <si>
    <t>HITCAB</t>
  </si>
  <si>
    <t>Hitesh Cable Network</t>
  </si>
  <si>
    <t>Narendra</t>
  </si>
  <si>
    <t> CHANDRASHEKHAR DATTATRAY NAIK</t>
  </si>
  <si>
    <t>YASHIKA</t>
  </si>
  <si>
    <t>Avinash</t>
  </si>
  <si>
    <t>Yashika Cable Network</t>
  </si>
  <si>
    <t>Remark</t>
  </si>
  <si>
    <t>408926 (Apr-2026)</t>
  </si>
  <si>
    <t>DVISION</t>
  </si>
  <si>
    <t>Patel Sunil Kumar Bharatbhai</t>
  </si>
  <si>
    <t>Drashti Vision</t>
  </si>
  <si>
    <t>BCT</t>
  </si>
  <si>
    <t>ASHOK BAKLIWAL</t>
  </si>
  <si>
    <t>BAKLIWAL CABLE TV NETWORK</t>
  </si>
  <si>
    <t>CITYNET</t>
  </si>
  <si>
    <t>Naveen Kumar</t>
  </si>
  <si>
    <t>Doc Date</t>
  </si>
  <si>
    <t>Doc Type</t>
  </si>
  <si>
    <t>Is Rental Receipt</t>
  </si>
  <si>
    <t>UnAdjusted Amount</t>
  </si>
  <si>
    <t>MASS COMPUTERS</t>
  </si>
  <si>
    <t>_R-Soft SMS:_</t>
  </si>
  <si>
    <t>10656 (May-2026)</t>
  </si>
  <si>
    <t>SAICN</t>
  </si>
  <si>
    <t>rohit shukla</t>
  </si>
  <si>
    <t>SUMEET STAR VISION</t>
  </si>
  <si>
    <t>31-Aug-2024</t>
  </si>
  <si>
    <t>ON</t>
  </si>
  <si>
    <t>CHANDRASHEKHAR DATTATRAY NAIK</t>
  </si>
  <si>
    <t>SPEEDNET</t>
  </si>
  <si>
    <t>Speednet Solutions</t>
  </si>
  <si>
    <t>Kunal Bhatia</t>
  </si>
  <si>
    <t>OFF</t>
  </si>
  <si>
    <t>CloseM</t>
  </si>
  <si>
    <t>closem</t>
  </si>
  <si>
    <t>KNET Demo</t>
  </si>
  <si>
    <t>DigianaArchive</t>
  </si>
  <si>
    <t>HCTN</t>
  </si>
  <si>
    <t>Heart Cable Television Network</t>
  </si>
  <si>
    <t>Md. Farid Uddin</t>
  </si>
  <si>
    <t>knetkalkaji</t>
  </si>
  <si>
    <t>K NET PRIVATE LIMITED</t>
  </si>
  <si>
    <t>krcn</t>
  </si>
  <si>
    <t>Krishna Cable Network</t>
  </si>
  <si>
    <t>Krishna Bahadur Mall</t>
  </si>
  <si>
    <t>OnnetIN</t>
  </si>
  <si>
    <t>Onnet</t>
  </si>
  <si>
    <t>SIGNETIPTV</t>
  </si>
  <si>
    <t>Rechec Automation Mail</t>
  </si>
  <si>
    <t>374503 (Jun-2026)</t>
  </si>
  <si>
    <t>564 (Jun-2026)</t>
  </si>
  <si>
    <t>456 (Jun-2026)</t>
  </si>
  <si>
    <t>3239 (Jun-2026)</t>
  </si>
  <si>
    <t>4388 (Jun-2026)</t>
  </si>
  <si>
    <t>3594 (Jun-2026)</t>
  </si>
  <si>
    <t>5007 (Jun-2026)</t>
  </si>
  <si>
    <t>1558 (Jun-2026)</t>
  </si>
  <si>
    <t>7216 (Jun-2026)</t>
  </si>
  <si>
    <t>10000 (Jun-2026)</t>
  </si>
  <si>
    <t>6217 (Jun-2026)</t>
  </si>
  <si>
    <t>9684 (Jun-2026)</t>
  </si>
  <si>
    <t>4256 (Jun-2026)</t>
  </si>
  <si>
    <t>44634 (Jun-2026)</t>
  </si>
  <si>
    <t>6917 (Jun-2026)</t>
  </si>
  <si>
    <t>2053 (Jun-2026)</t>
  </si>
  <si>
    <t>11911 (Jun-2026)</t>
  </si>
  <si>
    <t>3498 (Jun-2026)</t>
  </si>
  <si>
    <t>6349 (Jun-2026)</t>
  </si>
  <si>
    <t>773 (Jun-2026)</t>
  </si>
  <si>
    <t>583 (Jun-2026)</t>
  </si>
  <si>
    <t>1781 (Jun-2026)</t>
  </si>
  <si>
    <t>1725 (Jun-2026)</t>
  </si>
  <si>
    <t>251 (Jun-2026)</t>
  </si>
  <si>
    <t>530 (Jun-2026)</t>
  </si>
  <si>
    <t>1363 (Jun-2026)</t>
  </si>
  <si>
    <t>891 (Jun-2026)</t>
  </si>
  <si>
    <t>1379 (Jun-2026)</t>
  </si>
  <si>
    <t>570 (Jun-2026)</t>
  </si>
  <si>
    <t>311 (Jun-2026)</t>
  </si>
  <si>
    <t>1200 (Jun-2026)</t>
  </si>
  <si>
    <t>507 (Jun-2026)</t>
  </si>
  <si>
    <t>932 (Jun-2026)</t>
  </si>
  <si>
    <t>3265 (Jun-2026)</t>
  </si>
  <si>
    <t>1074 (Jun-2026)</t>
  </si>
  <si>
    <t>1542 (Jun-2026)</t>
  </si>
  <si>
    <t>1592 (Jun-2026)</t>
  </si>
  <si>
    <t>4904 (Jun-2026)</t>
  </si>
  <si>
    <t>1629 (Jun-2026)</t>
  </si>
  <si>
    <t>1139 (Jun-2026)</t>
  </si>
  <si>
    <t>413 (Jun-2026)</t>
  </si>
  <si>
    <t>307 (Jun-2026)</t>
  </si>
  <si>
    <t>962 (Jun-2026)</t>
  </si>
  <si>
    <t>289 (Jun-2026)</t>
  </si>
  <si>
    <t>1080 (Jun-2026)</t>
  </si>
  <si>
    <t>249 (Jun-2026)</t>
  </si>
  <si>
    <t>2222 (Jun-2026)</t>
  </si>
  <si>
    <t>852 (Jun-2026)</t>
  </si>
  <si>
    <t>5754 (Jun-2026)</t>
  </si>
  <si>
    <t>996 (Jun-2026)</t>
  </si>
  <si>
    <t>2007 (Jun-2026)</t>
  </si>
  <si>
    <t>2715 (Jun-2026)</t>
  </si>
  <si>
    <t>919 (Jun-2026)</t>
  </si>
  <si>
    <t>743 (Jun-2026)</t>
  </si>
  <si>
    <t>896 (Jun-2026)</t>
  </si>
  <si>
    <t>499 (Jun-2026)</t>
  </si>
  <si>
    <t>1611 (Jun-2026)</t>
  </si>
  <si>
    <t>1580 (Jun-2026)</t>
  </si>
  <si>
    <t>911 (Jun-2026)</t>
  </si>
  <si>
    <t>1392 (Jun-2026)</t>
  </si>
  <si>
    <t>1864 (Jun-2026)</t>
  </si>
  <si>
    <t>748 (Jun-2026)</t>
  </si>
  <si>
    <t>1084 (Jun-2026)</t>
  </si>
  <si>
    <t>1946 (Jun-2026)</t>
  </si>
  <si>
    <t>642 (Jun-2026)</t>
  </si>
  <si>
    <t>619 (Jun-2026)</t>
  </si>
  <si>
    <t>968 (Jun-2026)</t>
  </si>
  <si>
    <t>591 (Jun-2026)</t>
  </si>
  <si>
    <t>245 (Jun-2026)</t>
  </si>
  <si>
    <t>630 (Jun-2026)</t>
  </si>
  <si>
    <t>1133 (Jun-2026)</t>
  </si>
  <si>
    <t>802 (Jun-2026)</t>
  </si>
  <si>
    <t>3346 (Jun-2026)</t>
  </si>
  <si>
    <t>913 (Jun-2026)</t>
  </si>
  <si>
    <t>1257 (Jun-2026)</t>
  </si>
  <si>
    <t>1701 (Jun-2026)</t>
  </si>
  <si>
    <t>2780 (Jun-2026)</t>
  </si>
  <si>
    <t>451 (Jun-2026)</t>
  </si>
  <si>
    <t>2424 (Jun-2026)</t>
  </si>
  <si>
    <t>1152 (Jun-2026)</t>
  </si>
  <si>
    <t>1406 (Jun-2026)</t>
  </si>
  <si>
    <t>2115 (Jun-2026)</t>
  </si>
  <si>
    <t>708 (Jun-2026)</t>
  </si>
  <si>
    <t>997 (Jun-2026)</t>
  </si>
  <si>
    <t>50 (Jun-2026)</t>
  </si>
  <si>
    <t>823 (Jun-2026)</t>
  </si>
  <si>
    <t>496 (Jun-2026)</t>
  </si>
  <si>
    <t>107 (Jun-2026)</t>
  </si>
  <si>
    <t>788 (Jun-2026)</t>
  </si>
  <si>
    <t>1452 (Jun-2026)</t>
  </si>
  <si>
    <t>557 (Jun-2026)</t>
  </si>
  <si>
    <t>2690 (Jun-2026)</t>
  </si>
  <si>
    <t>328 (Jun-2026)</t>
  </si>
  <si>
    <t>1871 (Jun-2026)</t>
  </si>
  <si>
    <t>942 (Jun-2026)</t>
  </si>
  <si>
    <t>396 (Jun-2026)</t>
  </si>
  <si>
    <t>519 (Jun-2026)</t>
  </si>
  <si>
    <t>1099 (Jun-2026)</t>
  </si>
  <si>
    <t>324 (Jun-2026)</t>
  </si>
  <si>
    <t>458 (Jun-2026)</t>
  </si>
  <si>
    <t>1958 (Jun-2026)</t>
  </si>
  <si>
    <t>777 (Jun-2026)</t>
  </si>
  <si>
    <t>955 (Jun-2026)</t>
  </si>
  <si>
    <t>503 (Jun-2026)</t>
  </si>
  <si>
    <t>1198 (Jun-2026)</t>
  </si>
  <si>
    <t>847 (Jun-2026)</t>
  </si>
  <si>
    <t>1352 (Jun-2026)</t>
  </si>
  <si>
    <t>3248 (Jun-2026)</t>
  </si>
  <si>
    <t>842 (Jun-2026)</t>
  </si>
  <si>
    <t>741 (Jun-2026)</t>
  </si>
  <si>
    <t>351 (Jun-2026)</t>
  </si>
  <si>
    <t>2290 (Jun-2026)</t>
  </si>
  <si>
    <t>2102 (Jun-2026)</t>
  </si>
  <si>
    <t>616 (Jun-2026)</t>
  </si>
  <si>
    <t>3835 (Jun-2026)</t>
  </si>
  <si>
    <t>2280 (Jun-2026)</t>
  </si>
  <si>
    <t>9941 (Jun-2026)</t>
  </si>
  <si>
    <t>5345 (Jun-2026)</t>
  </si>
  <si>
    <t>468 (Jun-2026)</t>
  </si>
  <si>
    <t>1330 (Jun-2026)</t>
  </si>
  <si>
    <t>3755 (Jun-2026)</t>
  </si>
  <si>
    <t>489 (Jun-2026)</t>
  </si>
  <si>
    <t>DDCNDEN</t>
  </si>
  <si>
    <t>2598 (Jun-2026)</t>
  </si>
  <si>
    <t>435 (Jun-2026)</t>
  </si>
  <si>
    <t>1934 (Jun-2026)</t>
  </si>
  <si>
    <t>188 (Jun-2026)</t>
  </si>
  <si>
    <t>3676 (Jun-2026)</t>
  </si>
  <si>
    <t>Service</t>
  </si>
  <si>
    <t>Royal Properties</t>
  </si>
  <si>
    <t>WhatsApp</t>
  </si>
  <si>
    <t>Reliable</t>
  </si>
  <si>
    <t>Intellidata</t>
  </si>
  <si>
    <t>QTY</t>
  </si>
  <si>
    <t>1</t>
  </si>
  <si>
    <t>2000</t>
  </si>
  <si>
    <t>1500</t>
  </si>
  <si>
    <t>3087 (Jul-2026)</t>
  </si>
  <si>
    <t>3492 (Jul-2026)</t>
  </si>
  <si>
    <t>4924 (Jul-2026)</t>
  </si>
  <si>
    <t>6185 (Jul-2026)</t>
  </si>
  <si>
    <t>4203 (Jul-2026)</t>
  </si>
  <si>
    <t>9576 (Jul-2026)</t>
  </si>
  <si>
    <t>369007 (Jul-2026)</t>
  </si>
  <si>
    <t>1567 (Jul-2026)</t>
  </si>
  <si>
    <t>7102 (Jul-2026)</t>
  </si>
  <si>
    <t>4260 (Jul-2026)</t>
  </si>
  <si>
    <t>43856 (Jul-2026)</t>
  </si>
  <si>
    <t>6796 (Jul-2026)</t>
  </si>
  <si>
    <t>10000 (Jul-2026)</t>
  </si>
  <si>
    <t>551 (Jul-2026)</t>
  </si>
  <si>
    <t>500 (Jul-2026)</t>
  </si>
  <si>
    <t>11810 (Jul-2026)</t>
  </si>
  <si>
    <t>802 (Jul-2026)</t>
  </si>
  <si>
    <t>497 (Jul-2026)</t>
  </si>
  <si>
    <t>938 (Jul-2026)</t>
  </si>
  <si>
    <t>1074 (Jul-2026)</t>
  </si>
  <si>
    <t>703 (Jul-2026)</t>
  </si>
  <si>
    <t>1675 (Jul-2026)</t>
  </si>
  <si>
    <t>3445 (Jul-2026)</t>
  </si>
  <si>
    <t>1555 (Jul-2026)</t>
  </si>
  <si>
    <t>897 (Jul-2026)</t>
  </si>
  <si>
    <t>237 (Jul-2026)</t>
  </si>
  <si>
    <t>956 (Jul-2026)</t>
  </si>
  <si>
    <t>516 (Jul-2026)</t>
  </si>
  <si>
    <t>1049 (Jul-2026)</t>
  </si>
  <si>
    <t>6363 (Jul-2026)</t>
  </si>
  <si>
    <t>1784 (Jul-2026)</t>
  </si>
  <si>
    <t>376 (Jul-2026)</t>
  </si>
  <si>
    <t>836 (Jul-2026)</t>
  </si>
  <si>
    <t>2013 (Jul-2026)</t>
  </si>
  <si>
    <t>334 (Jul-2026)</t>
  </si>
  <si>
    <t>559 (Jul-2026)</t>
  </si>
  <si>
    <t>691 (Jul-2026)</t>
  </si>
  <si>
    <t>407 (Jul-2026)</t>
  </si>
  <si>
    <t>815 (Jul-2026)</t>
  </si>
  <si>
    <t>774 (Jul-2026)</t>
  </si>
  <si>
    <t>1158 (Jul-2026)</t>
  </si>
  <si>
    <t>245 (Jul-2026)</t>
  </si>
  <si>
    <t>1359 (Jul-2026)</t>
  </si>
  <si>
    <t>2054 (Jul-2026)</t>
  </si>
  <si>
    <t>1549 (Jul-2026)</t>
  </si>
  <si>
    <t>1084 (Jul-2026)</t>
  </si>
  <si>
    <t>5711 (Jul-2026)</t>
  </si>
  <si>
    <t>3348 (Jul-2026)</t>
  </si>
  <si>
    <t>2772 (Jul-2026)</t>
  </si>
  <si>
    <t>289 (Jul-2026)</t>
  </si>
  <si>
    <t>4833 (Jul-2026)</t>
  </si>
  <si>
    <t>570 (Jul-2026)</t>
  </si>
  <si>
    <t>3265 (Jul-2026)</t>
  </si>
  <si>
    <t>2189 (Jul-2026)</t>
  </si>
  <si>
    <t>2407 (Jul-2026)</t>
  </si>
  <si>
    <t>1012 (Jul-2026)</t>
  </si>
  <si>
    <t>2733 (Jul-2026)</t>
  </si>
  <si>
    <t>1532 (Jul-2026)</t>
  </si>
  <si>
    <t>1154 (Jul-2026)</t>
  </si>
  <si>
    <t>981 (Jul-2026)</t>
  </si>
  <si>
    <t>968 (Jul-2026)</t>
  </si>
  <si>
    <t>1114 (Jul-2026)</t>
  </si>
  <si>
    <t>496 (Jul-2026)</t>
  </si>
  <si>
    <t>1543 (Jul-2026)</t>
  </si>
  <si>
    <t>629 (Jul-2026)</t>
  </si>
  <si>
    <t>1576 (Jul-2026)</t>
  </si>
  <si>
    <t>745 (Jul-2026)</t>
  </si>
  <si>
    <t>898 (Jul-2026)</t>
  </si>
  <si>
    <t>1924 (Jul-2026)</t>
  </si>
  <si>
    <t>847 (Jul-2026)</t>
  </si>
  <si>
    <t>1264 (Jul-2026)</t>
  </si>
  <si>
    <t>578 (Jul-2026)</t>
  </si>
  <si>
    <t>1352 (Jul-2026)</t>
  </si>
  <si>
    <t>1119 (Jul-2026)</t>
  </si>
  <si>
    <t>2661 (Jul-2026)</t>
  </si>
  <si>
    <t>615 (Jul-2026)</t>
  </si>
  <si>
    <t>19 (Jul-2026)</t>
  </si>
  <si>
    <t>242 (Jul-2026)</t>
  </si>
  <si>
    <t>2051 (Jul-2026)</t>
  </si>
  <si>
    <t>302 (Jul-2026)</t>
  </si>
  <si>
    <t>1824 (Jul-2026)</t>
  </si>
  <si>
    <t>449 (Jul-2026)</t>
  </si>
  <si>
    <t>1373 (Jul-2026)</t>
  </si>
  <si>
    <t>1564 (Jul-2026)</t>
  </si>
  <si>
    <t>748 (Jul-2026)</t>
  </si>
  <si>
    <t>303 (Jul-2026)</t>
  </si>
  <si>
    <t>892 (Jul-2026)</t>
  </si>
  <si>
    <t>539 (Jul-2026)</t>
  </si>
  <si>
    <t>1855 (Jul-2026)</t>
  </si>
  <si>
    <t>1412 (Jul-2026)</t>
  </si>
  <si>
    <t>798 (Jul-2026)</t>
  </si>
  <si>
    <t>634 (Jul-2026)</t>
  </si>
  <si>
    <t>50 (Jul-2026)</t>
  </si>
  <si>
    <t>1415 (Jul-2026)</t>
  </si>
  <si>
    <t>1956 (Jul-2026)</t>
  </si>
  <si>
    <t>238 (Jul-2026)</t>
  </si>
  <si>
    <t>994 (Jul-2026)</t>
  </si>
  <si>
    <t>501 (Jul-2026)</t>
  </si>
  <si>
    <t>1192 (Jul-2026)</t>
  </si>
  <si>
    <t>189 (Jul-2026)</t>
  </si>
  <si>
    <t>726 (Jul-2026)</t>
  </si>
  <si>
    <t>414 (Jul-2026)</t>
  </si>
  <si>
    <t>526 (Jul-2026)</t>
  </si>
  <si>
    <t>1092 (Jul-2026)</t>
  </si>
  <si>
    <t>336 (Jul-2026)</t>
  </si>
  <si>
    <t>455 (Jul-2026)</t>
  </si>
  <si>
    <t>2266 (Jul-2026)</t>
  </si>
  <si>
    <t>3181 (Jul-2026)</t>
  </si>
  <si>
    <t>924 (Jul-2026)</t>
  </si>
  <si>
    <t>624 (Jul-2026)</t>
  </si>
  <si>
    <t>2089 (Jul-2026)</t>
  </si>
  <si>
    <t>9816 (Jul-2026)</t>
  </si>
  <si>
    <t>482 (Jul-2026)</t>
  </si>
  <si>
    <t>436 (Jul-2026)</t>
  </si>
  <si>
    <t>2279 (Jul-2026)</t>
  </si>
  <si>
    <t>5306 (Jul-2026)</t>
  </si>
  <si>
    <t>1303 (Jul-2026)</t>
  </si>
  <si>
    <t>341 (Jul-2026)</t>
  </si>
  <si>
    <t>3697 (Jul-2026)</t>
  </si>
  <si>
    <t>1996 (Jul-2026)</t>
  </si>
  <si>
    <t>3783 (Jul-2026)</t>
  </si>
  <si>
    <t>1162 (Jul-2026)</t>
  </si>
  <si>
    <t>2586 (Jul-2026)</t>
  </si>
  <si>
    <t>823 (Jul-2026)</t>
  </si>
  <si>
    <t>3646 (Jul-2026)</t>
  </si>
  <si>
    <t>446 (Jul-2026)</t>
  </si>
  <si>
    <t>0</t>
  </si>
  <si>
    <t>01-Dec-1905</t>
  </si>
  <si>
    <t>30-Sep-2026</t>
  </si>
  <si>
    <t>31-Jan-1906</t>
  </si>
  <si>
    <t>01-Jan-1902</t>
  </si>
  <si>
    <t>31-Jan-1902</t>
  </si>
  <si>
    <t>05-Oct-2026</t>
  </si>
  <si>
    <t>3484 (Aug-2026)</t>
  </si>
  <si>
    <t>4816 (Aug-2026)</t>
  </si>
  <si>
    <t>2911 (Aug-2026)</t>
  </si>
  <si>
    <t>1523 (Aug-2026)</t>
  </si>
  <si>
    <t>5984 (Aug-2026)</t>
  </si>
  <si>
    <t>3927 (Aug-2026)</t>
  </si>
  <si>
    <t>KCCL</t>
  </si>
  <si>
    <t>KERALA COMMUNICATORS CABLE LIMITED</t>
  </si>
  <si>
    <t>9432 (Aug-2026)</t>
  </si>
  <si>
    <t>6964 (Aug-2026)</t>
  </si>
  <si>
    <t>6662 (Aug-2026)</t>
  </si>
  <si>
    <t>4131 (Aug-2026)</t>
  </si>
  <si>
    <t>42597 (Aug-2026)</t>
  </si>
  <si>
    <t>366527 (Aug-2026)</t>
  </si>
  <si>
    <t>1788 (Aug-2026)</t>
  </si>
  <si>
    <t>3265 (Aug-2026)</t>
  </si>
  <si>
    <t>6203 (Aug-2026)</t>
  </si>
  <si>
    <t>16079 (Jun-2026)</t>
  </si>
  <si>
    <t>16110 (Jul-2026)</t>
  </si>
  <si>
    <t>14471 (Aug-2026)</t>
  </si>
  <si>
    <t>719 (Aug-2026)</t>
  </si>
  <si>
    <t>570 (Aug-2026)</t>
  </si>
  <si>
    <t>965 (Aug-2026)</t>
  </si>
  <si>
    <t>1592 (Aug-2026)</t>
  </si>
  <si>
    <t>11784 (Aug-2026)</t>
  </si>
  <si>
    <t>925 (Aug-2026)</t>
  </si>
  <si>
    <t>3349 (Aug-2026)</t>
  </si>
  <si>
    <t>2055 (Aug-2026)</t>
  </si>
  <si>
    <t>729 (Aug-2026)</t>
  </si>
  <si>
    <t>307 (Aug-2026)</t>
  </si>
  <si>
    <t>802 (Aug-2026)</t>
  </si>
  <si>
    <t>748 (Aug-2026)</t>
  </si>
  <si>
    <t>630 (Aug-2026)</t>
  </si>
  <si>
    <t>1555 (Aug-2026)</t>
  </si>
  <si>
    <t>1323 (Aug-2026)</t>
  </si>
  <si>
    <t>968 (Aug-2026)</t>
  </si>
  <si>
    <t>226 (Aug-2026)</t>
  </si>
  <si>
    <t>794 (Aug-2026)</t>
  </si>
  <si>
    <t>777 (Aug-2026)</t>
  </si>
  <si>
    <t>488 (Aug-2026)</t>
  </si>
  <si>
    <t>499 (Aug-2026)</t>
  </si>
  <si>
    <t>509 (Aug-2026)</t>
  </si>
  <si>
    <t>973 (Aug-2026)</t>
  </si>
  <si>
    <t>2016 (Aug-2026)</t>
  </si>
  <si>
    <t>3367 (Aug-2026)</t>
  </si>
  <si>
    <t>622 (Aug-2026)</t>
  </si>
  <si>
    <t>985 (Aug-2026)</t>
  </si>
  <si>
    <t>613 (Aug-2026)</t>
  </si>
  <si>
    <t>2737 (Aug-2026)</t>
  </si>
  <si>
    <t>846 (Aug-2026)</t>
  </si>
  <si>
    <t>2019 (Aug-2026)</t>
  </si>
  <si>
    <t>1493 (Aug-2026)</t>
  </si>
  <si>
    <t>1526 (Aug-2026)</t>
  </si>
  <si>
    <t>1543 (Aug-2026)</t>
  </si>
  <si>
    <t>300 (Aug-2026)</t>
  </si>
  <si>
    <t>4772 (Aug-2026)</t>
  </si>
  <si>
    <t>1399 (Aug-2026)</t>
  </si>
  <si>
    <t>1569 (Aug-2026)</t>
  </si>
  <si>
    <t>2386 (Aug-2026)</t>
  </si>
  <si>
    <t>2141 (Aug-2026)</t>
  </si>
  <si>
    <t>1149 (Aug-2026)</t>
  </si>
  <si>
    <t>2782 (Aug-2026)</t>
  </si>
  <si>
    <t>880 (Aug-2026)</t>
  </si>
  <si>
    <t>559 (Aug-2026)</t>
  </si>
  <si>
    <t>946 (Aug-2026)</t>
  </si>
  <si>
    <t>327 (Aug-2026)</t>
  </si>
  <si>
    <t>335 (Aug-2026)</t>
  </si>
  <si>
    <t>1329 (Aug-2026)</t>
  </si>
  <si>
    <t>884 (Aug-2026)</t>
  </si>
  <si>
    <t>1359 (Aug-2026)</t>
  </si>
  <si>
    <t>289 (Aug-2026)</t>
  </si>
  <si>
    <t>561 (Aug-2026)</t>
  </si>
  <si>
    <t>680 (Aug-2026)</t>
  </si>
  <si>
    <t>891 (Aug-2026)</t>
  </si>
  <si>
    <t>1156 (Aug-2026)</t>
  </si>
  <si>
    <t>231 (Aug-2026)</t>
  </si>
  <si>
    <t>1094 (Aug-2026)</t>
  </si>
  <si>
    <t>830 (Aug-2026)</t>
  </si>
  <si>
    <t>393 (Aug-2026)</t>
  </si>
  <si>
    <t>1563 (Aug-2026)</t>
  </si>
  <si>
    <t>1821 (Aug-2026)</t>
  </si>
  <si>
    <t>257 (Aug-2026)</t>
  </si>
  <si>
    <t>898 (Aug-2026)</t>
  </si>
  <si>
    <t>5657 (Aug-2026)</t>
  </si>
  <si>
    <t>2642 (Aug-2026)</t>
  </si>
  <si>
    <t>1869 (Aug-2026)</t>
  </si>
  <si>
    <t>1276 (Aug-2026)</t>
  </si>
  <si>
    <t>446 (Aug-2026)</t>
  </si>
  <si>
    <t>1803 (Aug-2026)</t>
  </si>
  <si>
    <t>814 (Aug-2026)</t>
  </si>
  <si>
    <t>1091 (Aug-2026)</t>
  </si>
  <si>
    <t>50 (Aug-2026)</t>
  </si>
  <si>
    <t>463 (Aug-2026)</t>
  </si>
  <si>
    <t>507 (Aug-2026)</t>
  </si>
  <si>
    <t>15 (Aug-2026)</t>
  </si>
  <si>
    <t>545 (Aug-2026)</t>
  </si>
  <si>
    <t>236 (Aug-2026)</t>
  </si>
  <si>
    <t>1384 (Aug-2026)</t>
  </si>
  <si>
    <t>242 (Aug-2026)</t>
  </si>
  <si>
    <t>772 (Aug-2026)</t>
  </si>
  <si>
    <t>989 (Aug-2026)</t>
  </si>
  <si>
    <t>816 (Aug-2026)</t>
  </si>
  <si>
    <t>998 (Aug-2026)</t>
  </si>
  <si>
    <t>3541 (Aug-2026)</t>
  </si>
  <si>
    <t>189 (Aug-2026)</t>
  </si>
  <si>
    <t>418 (Aug-2026)</t>
  </si>
  <si>
    <t>522 (Aug-2026)</t>
  </si>
  <si>
    <t>1061 (Aug-2026)</t>
  </si>
  <si>
    <t>322 (Aug-2026)</t>
  </si>
  <si>
    <t>450 (Aug-2026)</t>
  </si>
  <si>
    <t>280 (Aug-2026)</t>
  </si>
  <si>
    <t>927 (Aug-2026)</t>
  </si>
  <si>
    <t>2273 (Aug-2026)</t>
  </si>
  <si>
    <t>9625 (Aug-2026)</t>
  </si>
  <si>
    <t>2247 (Aug-2026)</t>
  </si>
  <si>
    <t>682 (Aug-2026)</t>
  </si>
  <si>
    <t>1817 (Aug-2026)</t>
  </si>
  <si>
    <t>456 (Aug-2026)</t>
  </si>
  <si>
    <t>1884 (Aug-2026)</t>
  </si>
  <si>
    <t>3757 (Aug-2026)</t>
  </si>
  <si>
    <t>WIN CABLE SERVICES</t>
  </si>
  <si>
    <t>5180 (Aug-2026)</t>
  </si>
  <si>
    <t>2086 (Aug-2026)</t>
  </si>
  <si>
    <t>417 (Aug-2026)</t>
  </si>
  <si>
    <t>1265 (Aug-2026)</t>
  </si>
  <si>
    <t>3652 (Aug-2026)</t>
  </si>
  <si>
    <t>2524 (Aug-2026)</t>
  </si>
  <si>
    <t>430 (Aug-2026)</t>
  </si>
  <si>
    <t>764 (Aug-2026)</t>
  </si>
  <si>
    <t>1160 (Aug-2026)</t>
  </si>
  <si>
    <t>489 (Aug-2026)</t>
  </si>
  <si>
    <t>3090 (Aug-2026)</t>
  </si>
  <si>
    <t>11-Oct-2026</t>
  </si>
  <si>
    <t>1037 (Aug-2026)</t>
  </si>
  <si>
    <t>ROYALE PROPERTIES</t>
  </si>
  <si>
    <t>ROYALE PROPERTIES &amp; DEVELOPERS</t>
  </si>
  <si>
    <t>JASMEET SINGH SALUJA</t>
  </si>
  <si>
    <t>_CNMS ON-Net Professional:_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</si>
</sst>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rgb="FF9C0006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FFFFFF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232323"/>
      <name val="Segoe UI"/>
      <family val="2"/>
    </font>
    <font>
      <sz val="11"/>
      <name val="Calibri"/>
      <family val="2"/>
    </font>
    <font>
      <b/>
      <sz val="11"/>
      <color rgb="FFFFFFFF"/>
      <name val="Arial"/>
      <family val="2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0">
    <xf numFmtId="0" fontId="0" fillId="0" borderId="0"/>
    <xf numFmtId="0" fontId="3" fillId="0" borderId="0"/>
    <xf numFmtId="0" fontId="4" fillId="0" borderId="0"/>
    <xf numFmtId="0" fontId="5" fillId="3" borderId="0" applyNumberFormat="0" applyBorder="0" applyAlignment="0" applyProtection="0"/>
    <xf numFmtId="0" fontId="6" fillId="0" borderId="0"/>
    <xf numFmtId="0" fontId="3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9" fillId="0" borderId="0"/>
    <xf numFmtId="0" fontId="24" fillId="0" borderId="0"/>
    <xf numFmtId="0" fontId="26" fillId="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76">
    <xf numFmtId="0" fontId="0" fillId="0" borderId="0" xfId="0"/>
    <xf numFmtId="0" fontId="0" fillId="0" borderId="0" xfId="0" applyAlignment="1" applyProtection="1">
      <alignment horizontal="center"/>
      <protection locked="0"/>
    </xf>
    <xf numFmtId="2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2" fillId="0" borderId="1" xfId="3" applyNumberFormat="1" applyFont="1" applyFill="1" applyBorder="1" applyAlignment="1">
      <alignment horizontal="center" vertical="center"/>
    </xf>
    <xf numFmtId="4" fontId="0" fillId="0" borderId="0" xfId="0" applyNumberFormat="1" applyProtection="1">
      <protection locked="0"/>
    </xf>
    <xf numFmtId="0" fontId="0" fillId="0" borderId="1" xfId="0" applyBorder="1" applyAlignment="1">
      <alignment horizontal="center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" fontId="0" fillId="0" borderId="0" xfId="0" applyNumberFormat="1" applyAlignment="1" applyProtection="1">
      <alignment horizontal="center"/>
      <protection locked="0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5" borderId="0" xfId="0" applyFill="1"/>
    <xf numFmtId="0" fontId="0" fillId="4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5" fillId="0" borderId="0" xfId="13" applyAlignment="1" applyProtection="1">
      <alignment horizontal="center"/>
      <protection locked="0"/>
    </xf>
    <xf numFmtId="0" fontId="0" fillId="0" borderId="5" xfId="0" applyBorder="1" applyAlignment="1">
      <alignment horizontal="center" vertical="center"/>
    </xf>
    <xf numFmtId="0" fontId="17" fillId="0" borderId="0" xfId="22" applyAlignment="1" applyProtection="1">
      <alignment horizontal="center"/>
      <protection locked="0"/>
    </xf>
    <xf numFmtId="49" fontId="17" fillId="0" borderId="0" xfId="22" applyNumberFormat="1" applyProtection="1">
      <protection locked="0"/>
    </xf>
    <xf numFmtId="49" fontId="16" fillId="2" borderId="1" xfId="22" applyNumberFormat="1" applyFont="1" applyFill="1" applyBorder="1" applyProtection="1">
      <protection locked="0"/>
    </xf>
    <xf numFmtId="16" fontId="0" fillId="5" borderId="0" xfId="0" applyNumberFormat="1" applyFill="1" applyProtection="1">
      <protection locked="0"/>
    </xf>
    <xf numFmtId="49" fontId="17" fillId="5" borderId="0" xfId="22" applyNumberFormat="1" applyFill="1" applyProtection="1">
      <protection locked="0"/>
    </xf>
    <xf numFmtId="0" fontId="19" fillId="0" borderId="0" xfId="23" applyProtection="1">
      <protection locked="0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5" borderId="14" xfId="0" applyFill="1" applyBorder="1"/>
    <xf numFmtId="0" fontId="0" fillId="5" borderId="16" xfId="0" applyFill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0" fillId="0" borderId="0" xfId="0" applyAlignment="1">
      <alignment vertical="top"/>
    </xf>
    <xf numFmtId="49" fontId="0" fillId="0" borderId="1" xfId="0" applyNumberFormat="1" applyBorder="1" applyAlignment="1" applyProtection="1">
      <alignment horizontal="center"/>
      <protection locked="0"/>
    </xf>
    <xf numFmtId="0" fontId="22" fillId="4" borderId="1" xfId="0" applyFont="1" applyFill="1" applyBorder="1" applyAlignment="1" applyProtection="1">
      <alignment horizontal="center"/>
      <protection locked="0"/>
    </xf>
    <xf numFmtId="0" fontId="23" fillId="0" borderId="0" xfId="0" applyFont="1"/>
    <xf numFmtId="49" fontId="3" fillId="0" borderId="0" xfId="20" applyNumberFormat="1" applyProtection="1">
      <protection locked="0"/>
    </xf>
    <xf numFmtId="49" fontId="24" fillId="4" borderId="1" xfId="24" applyNumberFormat="1" applyFill="1" applyBorder="1" applyAlignment="1" applyProtection="1">
      <alignment horizontal="center"/>
      <protection locked="0"/>
    </xf>
    <xf numFmtId="49" fontId="25" fillId="2" borderId="1" xfId="0" applyNumberFormat="1" applyFont="1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25" fillId="2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0" fontId="16" fillId="2" borderId="1" xfId="0" applyFont="1" applyFill="1" applyBorder="1" applyProtection="1">
      <protection locked="0"/>
    </xf>
    <xf numFmtId="49" fontId="26" fillId="6" borderId="1" xfId="25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49" fontId="16" fillId="2" borderId="1" xfId="0" applyNumberFormat="1" applyFont="1" applyFill="1" applyBorder="1" applyProtection="1">
      <protection locked="0"/>
    </xf>
    <xf numFmtId="0" fontId="0" fillId="0" borderId="6" xfId="0" applyBorder="1" applyAlignment="1">
      <alignment horizontal="left"/>
    </xf>
    <xf numFmtId="0" fontId="0" fillId="0" borderId="17" xfId="0" pivotButton="1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21" xfId="0" pivotButton="1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pivotButton="1" applyBorder="1"/>
    <xf numFmtId="0" fontId="0" fillId="0" borderId="25" xfId="0" applyBorder="1"/>
    <xf numFmtId="0" fontId="0" fillId="0" borderId="5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26" fillId="0" borderId="1" xfId="25" applyNumberFormat="1" applyFill="1" applyBorder="1" applyAlignment="1" applyProtection="1">
      <alignment horizontal="center"/>
      <protection locked="0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9" xfId="0" applyFont="1" applyBorder="1" applyAlignment="1">
      <alignment horizontal="center"/>
    </xf>
  </cellXfs>
  <cellStyles count="30">
    <cellStyle name="Bad" xfId="3" builtinId="27"/>
    <cellStyle name="Good" xfId="25" builtinId="26"/>
    <cellStyle name="Normal" xfId="0" builtinId="0"/>
    <cellStyle name="Normal 10" xfId="11" xr:uid="{37CA41BA-0EEA-412D-A9AB-9DD1A778A6B2}"/>
    <cellStyle name="Normal 10 2" xfId="20" xr:uid="{310A538D-8B7D-4A63-94D8-312DBF18A250}"/>
    <cellStyle name="Normal 11" xfId="12" xr:uid="{43479A54-A27B-4A5F-BD1C-9DF7FC213A81}"/>
    <cellStyle name="Normal 11 2" xfId="21" xr:uid="{8805812B-853B-4694-B8DC-3BE7BB3DA2F2}"/>
    <cellStyle name="Normal 12" xfId="13" xr:uid="{0609DC51-F8D2-4E3D-BCC8-388CB82C75E5}"/>
    <cellStyle name="Normal 12 2" xfId="26" xr:uid="{AFED6EA3-44A3-4381-9CE1-663BC0E4AE8A}"/>
    <cellStyle name="Normal 13" xfId="22" xr:uid="{7AC0AFC0-0B70-4260-B27D-62BF9278DA84}"/>
    <cellStyle name="Normal 13 2" xfId="27" xr:uid="{B7D8617B-C8B3-40EC-A1EF-086305FE7C01}"/>
    <cellStyle name="Normal 14" xfId="23" xr:uid="{29696ABA-8C75-4429-BCC7-B4520B3591E8}"/>
    <cellStyle name="Normal 14 2" xfId="28" xr:uid="{9944F9D1-F774-4E77-8518-6E914D1FC94D}"/>
    <cellStyle name="Normal 15" xfId="24" xr:uid="{5E6DC9C3-6FDE-4AF6-9B23-EAEBCD6C9B96}"/>
    <cellStyle name="Normal 15 2" xfId="29" xr:uid="{6D8E527E-570F-4E93-BB65-8C87C2654AE2}"/>
    <cellStyle name="Normal 2" xfId="1" xr:uid="{00000000-0005-0000-0000-000003000000}"/>
    <cellStyle name="Normal 3" xfId="2" xr:uid="{00000000-0005-0000-0000-000004000000}"/>
    <cellStyle name="Normal 3 2" xfId="5" xr:uid="{00000000-0005-0000-0000-000005000000}"/>
    <cellStyle name="Normal 4" xfId="4" xr:uid="{00000000-0005-0000-0000-000006000000}"/>
    <cellStyle name="Normal 4 2" xfId="14" xr:uid="{8731F1D8-397A-4882-B27E-C9FA03EC9E96}"/>
    <cellStyle name="Normal 5" xfId="6" xr:uid="{00000000-0005-0000-0000-000007000000}"/>
    <cellStyle name="Normal 5 2" xfId="15" xr:uid="{42156848-BF30-4452-B47A-700687992605}"/>
    <cellStyle name="Normal 6" xfId="7" xr:uid="{C6FDB4D0-FBE3-4735-8D45-88E71D9FD3E9}"/>
    <cellStyle name="Normal 6 2" xfId="16" xr:uid="{D04DBE06-503A-487E-AFC4-2FA7AB7D4005}"/>
    <cellStyle name="Normal 7" xfId="8" xr:uid="{EDB96735-8BF4-4A86-B893-7B38DC5562C0}"/>
    <cellStyle name="Normal 7 2" xfId="17" xr:uid="{D46A1FD2-210F-4ABC-BFE6-35E12DD30037}"/>
    <cellStyle name="Normal 8" xfId="9" xr:uid="{33386655-88B2-4D74-9567-3B1DF9EC6E34}"/>
    <cellStyle name="Normal 8 2" xfId="18" xr:uid="{88B58311-2B0B-4222-B936-53E9B394A03B}"/>
    <cellStyle name="Normal 9" xfId="10" xr:uid="{D0705EFB-4FFF-4B3F-94DB-4D2DD4E0D167}"/>
    <cellStyle name="Normal 9 2" xfId="19" xr:uid="{4F02568F-2CA9-4C35-AD2F-0AFE288079EA}"/>
  </cellStyles>
  <dxfs count="26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winkle Sharma" refreshedDate="46295.717458333333" createdVersion="7" refreshedVersion="7" minRefreshableVersion="3" recordCount="142" xr:uid="{D71CC17F-2B8C-482C-99C0-7736DC11B0ED}">
  <cacheSource type="worksheet">
    <worksheetSource ref="A1:X1048576" sheet="OLD"/>
  </cacheSource>
  <cacheFields count="24">
    <cacheField name="S. No." numFmtId="0">
      <sharedItems containsString="0" containsBlank="1" containsNumber="1" containsInteger="1" minValue="1" maxValue="141"/>
    </cacheField>
    <cacheField name="Cable Operator ID" numFmtId="0">
      <sharedItems containsBlank="1" count="154">
        <s v="HItech"/>
        <s v="JCC"/>
        <s v="SLNCN"/>
        <s v="LKCN"/>
        <s v="SBDCN"/>
        <s v="SSBCN"/>
        <s v="KCCL"/>
        <s v="UDNPL"/>
        <s v="SDCS"/>
        <s v="PCCB"/>
        <s v="DIGIANA"/>
        <s v="D4U"/>
        <s v="SIGNET"/>
        <s v="ssdm"/>
        <s v="DDC"/>
        <s v="HARSH"/>
        <s v="NCN"/>
        <s v="cvmploffice"/>
        <s v="BDS"/>
        <s v="JMKL"/>
        <s v="JMKB"/>
        <s v="Bajaj"/>
        <s v="JMDCB"/>
        <s v="MCTN"/>
        <s v="ABC"/>
        <s v="MARUTHIE"/>
        <s v="NEC"/>
        <s v="shyama"/>
        <s v="MODERN"/>
        <s v="scnkullu"/>
        <s v="YVN"/>
        <s v="SCNPL"/>
        <s v="MCT"/>
        <s v="icncl"/>
        <s v="KATARIA"/>
        <s v="CLASSIC"/>
        <s v="jayvideo"/>
        <s v="WSCN"/>
        <s v="TDCN"/>
        <s v="SHIVAMCN"/>
        <s v="CDC"/>
        <s v="STCE"/>
        <s v="VARUNSTAR"/>
        <s v="KACS"/>
        <s v="Shivas"/>
        <s v="bhatia"/>
        <s v="STARCN"/>
        <s v="ascable"/>
        <s v="V5DN"/>
        <s v="Manoranjan"/>
        <s v="surya"/>
        <s v="SCM"/>
        <s v="SRE"/>
        <s v="media"/>
        <s v="SMSV"/>
        <s v="CHAND"/>
        <s v="SOURABHC"/>
        <s v="SSCV"/>
        <s v="DRISHTI"/>
        <s v="PRV"/>
        <s v="jaiambey"/>
        <s v="MARUTHID"/>
        <s v="TARINI"/>
        <s v="vicky"/>
        <s v="SKCV"/>
        <s v="WJC"/>
        <s v="GVCN"/>
        <s v="ANCTV"/>
        <s v="NTCNO"/>
        <s v="TMS"/>
        <s v="shivam"/>
        <s v="ADN"/>
        <s v="YDN"/>
        <s v="V4u"/>
        <s v="MCN"/>
        <s v="STEK"/>
        <s v="maruthi"/>
        <s v="acc"/>
        <s v="OMKAR"/>
        <s v="11111"/>
        <s v="Nathan"/>
        <s v="skychannel"/>
        <s v="SAICN"/>
        <s v="SNCN"/>
        <s v="venus"/>
        <s v="SYCN"/>
        <s v="VICN"/>
        <s v="Bharath"/>
        <s v="TSCN"/>
        <s v="wcs"/>
        <s v="sai"/>
        <s v="SGE"/>
        <s v="RCI"/>
        <s v="PLANET"/>
        <s v="swasthikp"/>
        <s v="MCAN"/>
        <s v="Kadur"/>
        <s v="pundir"/>
        <s v="dalora"/>
        <s v="GECN"/>
        <s v="SMCN"/>
        <s v="SSVCN"/>
        <s v="SSS"/>
        <s v="SHSCV"/>
        <s v="TEJAS"/>
        <s v="VCLUB"/>
        <s v="KUMAR"/>
        <s v="RGT"/>
        <s v="VENU"/>
        <s v="BCT"/>
        <s v="SGCN"/>
        <s v="GUJFI"/>
        <s v="HITCAB"/>
        <s v="YASHIKA"/>
        <s v="DVISION"/>
        <s v="SCABN"/>
        <s v="brighter"/>
        <s v="SWASTIK"/>
        <s v="BHARTICN"/>
        <s v="Magic"/>
        <s v="kwality"/>
        <s v="VCPL"/>
        <s v="RKC"/>
        <s v="WVD"/>
        <s v="IQABL"/>
        <s v="WIN"/>
        <s v="SAIC"/>
        <s v="abbys"/>
        <s v="DDCN"/>
        <s v="VMS"/>
        <s v="sargam"/>
        <s v="JCNN"/>
        <s v="Sourabh"/>
        <s v="SIGNETONNET"/>
        <s v="SDCV"/>
        <s v="vision"/>
        <s v="Abrar-NET"/>
        <s v="SBNET"/>
        <s v="CITYNET"/>
        <s v="SPEEDNET"/>
        <s v="ENHANCE"/>
        <m/>
        <s v="chadda" u="1"/>
        <s v="MUKTESH" u="1"/>
        <s v="BRCA" u="1"/>
        <s v="PMC" u="1"/>
        <s v="KDIN" u="1"/>
        <s v="GENTR" u="1"/>
        <s v="tkc" u="1"/>
        <s v="BCBS" u="1"/>
        <s v="RCCN" u="1"/>
        <s v="SWASTIK-NET" u="1"/>
        <s v="SITI" u="1"/>
        <s v="shdi" u="1"/>
      </sharedItems>
    </cacheField>
    <cacheField name="Company Owner" numFmtId="0">
      <sharedItems containsBlank="1"/>
    </cacheField>
    <cacheField name="Contact Person Name" numFmtId="0">
      <sharedItems containsBlank="1"/>
    </cacheField>
    <cacheField name="Company Name" numFmtId="0">
      <sharedItems containsBlank="1"/>
    </cacheField>
    <cacheField name="State" numFmtId="0">
      <sharedItems containsBlank="1"/>
    </cacheField>
    <cacheField name="Status (Rental/Outright)" numFmtId="0">
      <sharedItems containsBlank="1"/>
    </cacheField>
    <cacheField name="R-Soft/On-Net" numFmtId="0">
      <sharedItems containsBlank="1" count="5">
        <s v="CNMS ON-Net Standard"/>
        <s v="R-Soft SMS"/>
        <s v="CNMS ON-Net Professional"/>
        <s v="NetManazer"/>
        <m/>
      </sharedItems>
    </cacheField>
    <cacheField name="MINIMUM BILLING" numFmtId="0">
      <sharedItems containsString="0" containsBlank="1" containsNumber="1" containsInteger="1" minValue="250" maxValue="400000"/>
    </cacheField>
    <cacheField name="Closing Connections" numFmtId="0">
      <sharedItems containsString="0" containsBlank="1" containsNumber="1" containsInteger="1" minValue="250" maxValue="400000"/>
    </cacheField>
    <cacheField name="Rate" numFmtId="0">
      <sharedItems containsString="0" containsBlank="1" containsNumber="1" minValue="0.5" maxValue="6"/>
    </cacheField>
    <cacheField name="Tax" numFmtId="0">
      <sharedItems containsBlank="1"/>
    </cacheField>
    <cacheField name="Total" numFmtId="0">
      <sharedItems containsString="0" containsBlank="1" containsNumber="1" minValue="750" maxValue="260000"/>
    </cacheField>
    <cacheField name="Discount" numFmtId="0">
      <sharedItems containsString="0" containsBlank="1" containsNumber="1" containsInteger="1" minValue="0" maxValue="0"/>
    </cacheField>
    <cacheField name="Final Base Amount" numFmtId="0">
      <sharedItems containsString="0" containsBlank="1" containsNumber="1" minValue="750" maxValue="260000"/>
    </cacheField>
    <cacheField name="GST" numFmtId="0">
      <sharedItems containsString="0" containsBlank="1" containsNumber="1" minValue="135" maxValue="46800"/>
    </cacheField>
    <cacheField name="Total Rental Amount" numFmtId="0">
      <sharedItems containsString="0" containsBlank="1" containsNumber="1" minValue="885" maxValue="306800"/>
    </cacheField>
    <cacheField name="ADJ" numFmtId="0">
      <sharedItems containsString="0" containsBlank="1" containsNumber="1" minValue="-13872.58" maxValue="212546.57"/>
    </cacheField>
    <cacheField name="Final Payable" numFmtId="0">
      <sharedItems containsString="0" containsBlank="1" containsNumber="1" minValue="-10922.58" maxValue="428797.5"/>
    </cacheField>
    <cacheField name="Recheck OP Basic " numFmtId="0">
      <sharedItems containsString="0" containsBlank="1" containsNumber="1" minValue="-10922.58" maxValue="428797.5"/>
    </cacheField>
    <cacheField name="Result 1" numFmtId="0">
      <sharedItems containsString="0" containsBlank="1" containsNumber="1" minValue="-669.64999999999964" maxValue="1.0913492332065289E-13"/>
    </cacheField>
    <cacheField name="Rechec Automation Mail" numFmtId="0">
      <sharedItems containsString="0" containsBlank="1" containsNumber="1" minValue="-10922.58" maxValue="428797.5"/>
    </cacheField>
    <cacheField name="Result 2" numFmtId="0">
      <sharedItems containsString="0" containsBlank="1" containsNumber="1" containsInteger="1" minValue="0" maxValue="0"/>
    </cacheField>
    <cacheField name="Helper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winkle Sharma" refreshedDate="46295.717656018518" createdVersion="7" refreshedVersion="7" minRefreshableVersion="3" recordCount="141" xr:uid="{B2155729-19D0-4C73-9E99-C17E8F24EE43}">
  <cacheSource type="worksheet">
    <worksheetSource ref="A1:X1048576" sheet="Sep-26"/>
  </cacheSource>
  <cacheFields count="24">
    <cacheField name="S. No." numFmtId="0">
      <sharedItems containsString="0" containsBlank="1" containsNumber="1" containsInteger="1" minValue="1" maxValue="136"/>
    </cacheField>
    <cacheField name="Cable Operator ID" numFmtId="0">
      <sharedItems containsBlank="1" count="137">
        <s v="SLNCN"/>
        <s v="LKCN"/>
        <s v="JCC"/>
        <s v="SDCS"/>
        <s v="SBDCN"/>
        <s v="SSBCN"/>
        <s v="KCCL"/>
        <s v="PCCB"/>
        <s v="ssdm"/>
        <s v="D4U"/>
        <s v="DDC"/>
        <s v="DIGIANA"/>
        <s v="SIGNET"/>
        <s v="UDNPL"/>
        <s v="icncl"/>
        <s v="SOURABHC"/>
        <s v="MCT"/>
        <s v="ENHANCE"/>
        <s v="JMDCB"/>
        <s v="CHAND"/>
        <s v="Bajaj"/>
        <s v="MCTN"/>
        <s v="cvmploffice"/>
        <s v="JMKB"/>
        <s v="ABC"/>
        <s v="ascable"/>
        <s v="ADN"/>
        <s v="KATARIA"/>
        <s v="BDS"/>
        <s v="RCI"/>
        <s v="TMS"/>
        <s v="V5DN"/>
        <s v="STARCN"/>
        <s v="WJC"/>
        <s v="shyama"/>
        <s v="dalora"/>
        <s v="KACS"/>
        <s v="JMKL"/>
        <s v="ANCTV"/>
        <s v="YVN"/>
        <s v="SKCV"/>
        <s v="venus"/>
        <s v="SCM"/>
        <s v="GECN"/>
        <s v="jaiambey"/>
        <s v="skychannel"/>
        <s v="MARUTHID"/>
        <s v="STEK"/>
        <s v="jayvideo"/>
        <s v="TARINI"/>
        <s v="NTCNO"/>
        <s v="MARUTHIE"/>
        <s v="SYCN"/>
        <s v="SMSV"/>
        <s v="pundir"/>
        <s v="shivam"/>
        <s v="DRISHTI"/>
        <s v="SSCV"/>
        <s v="Shivas"/>
        <s v="SRE"/>
        <s v="NEC"/>
        <s v="TDCN"/>
        <s v="MODERN"/>
        <s v="WSCN"/>
        <s v="Manoranjan"/>
        <s v="OMKAR"/>
        <s v="YDN"/>
        <s v="wcs"/>
        <s v="media"/>
        <s v="acc"/>
        <s v="CDC"/>
        <s v="Bharath"/>
        <s v="vicky"/>
        <s v="bhatia"/>
        <s v="GVCN"/>
        <s v="CLASSIC"/>
        <s v="STCE"/>
        <s v="sai"/>
        <s v="MCN"/>
        <s v="SGE"/>
        <s v="PLANET"/>
        <s v="swasthikp"/>
        <s v="surya"/>
        <s v="Nathan"/>
        <s v="Kadur"/>
        <s v="maruthi"/>
        <s v="TSCN"/>
        <s v="VICN"/>
        <s v="VARUNSTAR"/>
        <s v="11111"/>
        <s v="SMCN"/>
        <s v="MCAN"/>
        <s v="NCN"/>
        <s v="SAICN"/>
        <s v="HARSH"/>
        <s v="SNCN"/>
        <s v="SSVCN"/>
        <s v="SHSCV"/>
        <s v="TEJAS"/>
        <s v="VCLUB"/>
        <s v="SIGNETONNET"/>
        <s v="JCNN"/>
        <s v="SDCV"/>
        <s v="VENU"/>
        <s v="GUJFI"/>
        <s v="HITCAB"/>
        <s v="YASHIKA"/>
        <s v="DVISION"/>
        <s v="SCABN"/>
        <s v="abbys"/>
        <s v="Magic"/>
        <s v="BHARTICN"/>
        <s v="IQABL"/>
        <s v="VCPL"/>
        <s v="brighter"/>
        <s v="SGCN"/>
        <s v="VMS"/>
        <s v="RKC"/>
        <s v="SSS"/>
        <s v="sargam"/>
        <s v="WIN"/>
        <s v="kwality"/>
        <s v="WVD"/>
        <s v="SAIC"/>
        <s v="DDCN"/>
        <s v="Sourabh"/>
        <s v="vision"/>
        <s v="RGT"/>
        <s v="KUMAR"/>
        <s v="SWASTIK"/>
        <s v="SCNPL"/>
        <s v="Abrar-NET"/>
        <s v="SBNET"/>
        <s v="CITYNET"/>
        <s v="SPEEDNET"/>
        <s v="SIGNETIPTV"/>
        <m/>
      </sharedItems>
    </cacheField>
    <cacheField name="Company Owner" numFmtId="0">
      <sharedItems containsBlank="1"/>
    </cacheField>
    <cacheField name="Contact Person Name" numFmtId="0">
      <sharedItems containsBlank="1"/>
    </cacheField>
    <cacheField name="Company Name" numFmtId="0">
      <sharedItems containsBlank="1"/>
    </cacheField>
    <cacheField name="State" numFmtId="0">
      <sharedItems containsBlank="1"/>
    </cacheField>
    <cacheField name="Status (Rental/Outright)" numFmtId="0">
      <sharedItems containsBlank="1"/>
    </cacheField>
    <cacheField name="R-Soft/On-Net" numFmtId="0">
      <sharedItems containsBlank="1" count="6">
        <s v="R-Soft SMS"/>
        <s v="CNMS ON-Net Standard"/>
        <s v="CNMS ON-Net Professional"/>
        <s v="NetManazer"/>
        <s v="R-Soft IPTV"/>
        <m/>
      </sharedItems>
    </cacheField>
    <cacheField name="MINIMUM BILLING" numFmtId="0">
      <sharedItems containsString="0" containsBlank="1" containsNumber="1" containsInteger="1" minValue="250" maxValue="400000"/>
    </cacheField>
    <cacheField name="Closing Connections" numFmtId="0">
      <sharedItems containsNonDate="0" containsString="0" containsBlank="1"/>
    </cacheField>
    <cacheField name="Rate" numFmtId="0">
      <sharedItems containsString="0" containsBlank="1" containsNumber="1" minValue="0.5" maxValue="6"/>
    </cacheField>
    <cacheField name="Tax" numFmtId="0">
      <sharedItems containsBlank="1"/>
    </cacheField>
    <cacheField name="Total" numFmtId="0">
      <sharedItems containsString="0" containsBlank="1" containsNumber="1" containsInteger="1" minValue="0" maxValue="0"/>
    </cacheField>
    <cacheField name="Discount" numFmtId="0">
      <sharedItems containsString="0" containsBlank="1" containsNumber="1" containsInteger="1" minValue="0" maxValue="0"/>
    </cacheField>
    <cacheField name="Final Base Amount" numFmtId="0">
      <sharedItems containsString="0" containsBlank="1" containsNumber="1" containsInteger="1" minValue="0" maxValue="0"/>
    </cacheField>
    <cacheField name="GST" numFmtId="0">
      <sharedItems containsString="0" containsBlank="1" containsNumber="1" containsInteger="1" minValue="0" maxValue="0"/>
    </cacheField>
    <cacheField name="Total Rental Amount" numFmtId="0">
      <sharedItems containsString="0" containsBlank="1" containsNumber="1" containsInteger="1" minValue="0" maxValue="0"/>
    </cacheField>
    <cacheField name="ADJ" numFmtId="0">
      <sharedItems containsString="0" containsBlank="1" containsNumber="1" minValue="-21876.74" maxValue="212547.23"/>
    </cacheField>
    <cacheField name="Final Payable" numFmtId="0">
      <sharedItems containsString="0" containsBlank="1" containsNumber="1" minValue="-21876.74" maxValue="212547.23"/>
    </cacheField>
    <cacheField name="Recheck OP Basic " numFmtId="0">
      <sharedItems containsNonDate="0" containsString="0" containsBlank="1"/>
    </cacheField>
    <cacheField name="Result 1" numFmtId="0">
      <sharedItems containsString="0" containsBlank="1" containsNumber="1" minValue="-21876.74" maxValue="212547.23"/>
    </cacheField>
    <cacheField name="Rechec Automation Mail" numFmtId="0">
      <sharedItems containsNonDate="0" containsString="0" containsBlank="1"/>
    </cacheField>
    <cacheField name="Result 2" numFmtId="0">
      <sharedItems containsString="0" containsBlank="1" containsNumber="1" minValue="-21876.74" maxValue="212547.23"/>
    </cacheField>
    <cacheField name="Helper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n v="1"/>
    <x v="0"/>
    <s v="MR.KRISHNAN"/>
    <s v="Mr.Krishnan"/>
    <s v="SIDDHIVINAYAK NETWORKS PVT LTD"/>
    <s v="Maharashtra"/>
    <s v="Rental"/>
    <x v="0"/>
    <n v="10000"/>
    <n v="10000"/>
    <n v="0.85"/>
    <s v="Exclusive"/>
    <n v="8500"/>
    <n v="0"/>
    <n v="8500"/>
    <n v="1530"/>
    <n v="10030"/>
    <n v="10030"/>
    <n v="20060"/>
    <n v="20060"/>
    <n v="0"/>
    <n v="20060"/>
    <n v="0"/>
    <x v="0"/>
  </r>
  <r>
    <n v="2"/>
    <x v="1"/>
    <s v="Mukta Dey"/>
    <s v="KARTIK DEY"/>
    <s v="JCC NETWORK"/>
    <s v="Assam"/>
    <s v="Rental"/>
    <x v="1"/>
    <n v="10000"/>
    <n v="10000"/>
    <n v="1"/>
    <s v="Exclusive"/>
    <n v="10000"/>
    <n v="0"/>
    <n v="10000"/>
    <n v="1800"/>
    <n v="11800"/>
    <n v="-10000"/>
    <n v="1800"/>
    <n v="1800"/>
    <n v="0"/>
    <n v="1800"/>
    <n v="0"/>
    <x v="0"/>
  </r>
  <r>
    <n v="3"/>
    <x v="2"/>
    <s v="Mahesh Vasant Joshi"/>
    <s v="Mahesh Vasant Joshi"/>
    <s v="Shri Laxmi Narayan Cable Network"/>
    <s v="Maharashtra"/>
    <s v="Rental"/>
    <x v="1"/>
    <n v="10000"/>
    <n v="10000"/>
    <n v="1"/>
    <s v="Exclusive"/>
    <n v="10000"/>
    <n v="0"/>
    <n v="10000"/>
    <n v="1800"/>
    <n v="11800"/>
    <n v="0.04"/>
    <n v="11800.04"/>
    <n v="11800.04"/>
    <n v="0"/>
    <n v="11800.04"/>
    <n v="0"/>
    <x v="0"/>
  </r>
  <r>
    <n v="4"/>
    <x v="3"/>
    <s v="Sunetra Mahesh Joshi "/>
    <s v="Mahesh Vasan"/>
    <s v="Laxmi Keshav Cable Network"/>
    <s v="Maharashtra"/>
    <s v="Rental"/>
    <x v="1"/>
    <n v="10000"/>
    <n v="10000"/>
    <n v="1"/>
    <s v="Exclusive"/>
    <n v="10000"/>
    <n v="0"/>
    <n v="10000"/>
    <n v="1800"/>
    <n v="11800"/>
    <n v="0"/>
    <n v="11800"/>
    <n v="11800"/>
    <n v="0"/>
    <n v="11800"/>
    <n v="0"/>
    <x v="0"/>
  </r>
  <r>
    <n v="5"/>
    <x v="4"/>
    <s v="Harish Chandra Mishra"/>
    <s v="Harish Chandra Mishra"/>
    <s v="Shri Badri Kedar Digital cable Network"/>
    <s v="Uttarakhand"/>
    <s v="Rental"/>
    <x v="1"/>
    <n v="10000"/>
    <n v="10000"/>
    <n v="1"/>
    <s v="Exclusive"/>
    <n v="10000"/>
    <n v="0"/>
    <n v="10000"/>
    <n v="1800"/>
    <n v="11800"/>
    <n v="-0.72"/>
    <n v="11799.28"/>
    <n v="11799.28"/>
    <n v="0"/>
    <n v="11799.28"/>
    <n v="0"/>
    <x v="0"/>
  </r>
  <r>
    <n v="6"/>
    <x v="5"/>
    <s v="Pawan Kumar"/>
    <s v="Rajkumar"/>
    <s v="SHRI SHYAM BABA CABLE NETWORK"/>
    <s v="Haryana"/>
    <s v="Rental"/>
    <x v="1"/>
    <n v="10000"/>
    <n v="10000"/>
    <n v="1"/>
    <s v="Exclusive"/>
    <n v="10000"/>
    <n v="0"/>
    <n v="10000"/>
    <n v="1800"/>
    <n v="11800"/>
    <n v="0.46"/>
    <n v="11800.46"/>
    <n v="11800.46"/>
    <n v="0"/>
    <n v="11800.46"/>
    <n v="0"/>
    <x v="0"/>
  </r>
  <r>
    <n v="7"/>
    <x v="6"/>
    <s v="MANOSHI MANNA"/>
    <s v="Suman Sey"/>
    <s v="BARGABHIMA CABLE AND BROADBAND SERVICES"/>
    <s v="West Bengal"/>
    <s v="Rental"/>
    <x v="1"/>
    <n v="10000"/>
    <n v="10000"/>
    <n v="1"/>
    <s v="Exclusive"/>
    <n v="10000"/>
    <n v="0"/>
    <n v="10000"/>
    <n v="1800"/>
    <n v="11800"/>
    <n v="1.1000000000000001"/>
    <n v="11801.1"/>
    <n v="11801.1"/>
    <n v="0"/>
    <n v="11801.1"/>
    <n v="0"/>
    <x v="0"/>
  </r>
  <r>
    <n v="8"/>
    <x v="7"/>
    <s v="Manjunath"/>
    <s v="Manjunath"/>
    <s v="U Digital network Pvt Ltd"/>
    <s v="Karnataka"/>
    <s v="Rental"/>
    <x v="1"/>
    <n v="200000"/>
    <n v="366527"/>
    <n v="0.5"/>
    <s v="Exclusive"/>
    <n v="183263.5"/>
    <n v="0"/>
    <n v="183263.5"/>
    <n v="32987.43"/>
    <n v="216250.93"/>
    <n v="212546.57"/>
    <n v="428797.5"/>
    <n v="428797.5"/>
    <n v="0"/>
    <n v="428797.5"/>
    <n v="0"/>
    <x v="0"/>
  </r>
  <r>
    <n v="9"/>
    <x v="8"/>
    <s v="RAJENDRA MURLIDHAR MULIK"/>
    <s v="RAJENDRA MURLIDHAR MULIK"/>
    <s v="SHREE DIGITAL CABLE SYSTEM"/>
    <s v="Maharashtra"/>
    <s v="Rental"/>
    <x v="1"/>
    <n v="10000"/>
    <n v="10000"/>
    <n v="1"/>
    <s v="Exclusive"/>
    <n v="10000"/>
    <n v="0"/>
    <n v="10000"/>
    <n v="1800"/>
    <n v="11800"/>
    <n v="0"/>
    <n v="11800"/>
    <n v="11800"/>
    <n v="0"/>
    <n v="11800"/>
    <n v="0"/>
    <x v="0"/>
  </r>
  <r>
    <n v="10"/>
    <x v="9"/>
    <s v="Umesh Chand Bagrecha"/>
    <s v="Umesh Chand Bagrecha"/>
    <s v="Padmesh Citi Cable"/>
    <s v="Madhya Pradesh"/>
    <s v="Rental"/>
    <x v="1"/>
    <n v="10000"/>
    <n v="10000"/>
    <n v="1"/>
    <s v="Exclusive"/>
    <n v="10000"/>
    <n v="0"/>
    <n v="10000"/>
    <n v="1800"/>
    <n v="11800"/>
    <n v="0.24"/>
    <n v="11800.24"/>
    <n v="11800.24"/>
    <n v="0"/>
    <n v="11800.24"/>
    <n v="0"/>
    <x v="0"/>
  </r>
  <r>
    <n v="11"/>
    <x v="10"/>
    <s v="Sukhdev Singh Ghuman"/>
    <s v="Sanjay Sood"/>
    <s v="Digiana Projects Private Limited"/>
    <s v="Madhya Pradesh"/>
    <s v="Rental"/>
    <x v="1"/>
    <n v="400000"/>
    <n v="400000"/>
    <n v="0.65"/>
    <s v="Exclusive"/>
    <n v="260000"/>
    <n v="0"/>
    <n v="260000"/>
    <n v="46800"/>
    <n v="306800"/>
    <n v="0.2"/>
    <n v="306800.2"/>
    <n v="306800.2"/>
    <n v="0"/>
    <n v="306800.2"/>
    <n v="0"/>
    <x v="0"/>
  </r>
  <r>
    <n v="12"/>
    <x v="11"/>
    <s v="MOHAMMED HANIF SHAIKH"/>
    <s v="MOHAMMED HANIF SHAIKH"/>
    <s v="DAS BROADBAND DIGITAL COMMUNICATION PVT. LTD."/>
    <s v="Madhya Pradesh"/>
    <s v="Rental"/>
    <x v="1"/>
    <n v="10000"/>
    <n v="10000"/>
    <n v="1"/>
    <s v="Exclusive"/>
    <n v="10000"/>
    <n v="0"/>
    <n v="10000"/>
    <n v="1800"/>
    <n v="11800"/>
    <n v="9.33"/>
    <n v="11809.33"/>
    <n v="11809.33"/>
    <n v="0"/>
    <n v="11809.33"/>
    <n v="0"/>
    <x v="0"/>
  </r>
  <r>
    <n v="13"/>
    <x v="12"/>
    <s v="Chandrashekhar Naik"/>
    <s v="Amardeep ajgaokar"/>
    <s v="Signet digital private limited"/>
    <s v="Maharashtra"/>
    <s v="Rental"/>
    <x v="1"/>
    <n v="50000"/>
    <n v="50000"/>
    <n v="1.25"/>
    <s v="Exclusive"/>
    <n v="62500"/>
    <n v="0"/>
    <n v="62500"/>
    <n v="11250"/>
    <n v="73750"/>
    <n v="-10738.65"/>
    <n v="63011.35"/>
    <n v="63011.35"/>
    <n v="0"/>
    <n v="63011.35"/>
    <n v="0"/>
    <x v="0"/>
  </r>
  <r>
    <n v="14"/>
    <x v="13"/>
    <s v="Jayesh Pandya"/>
    <s v="Jayesh Pandya"/>
    <s v="SITI SAISTAR DIGITAL MEDIA PVT LTD"/>
    <s v="Gujarat"/>
    <s v="Rental"/>
    <x v="1"/>
    <n v="20000"/>
    <n v="20000"/>
    <n v="1.5"/>
    <s v="Exclusive"/>
    <n v="30000"/>
    <n v="0"/>
    <n v="30000"/>
    <n v="5400"/>
    <n v="35400"/>
    <n v="-600"/>
    <n v="34800"/>
    <n v="34800"/>
    <n v="0"/>
    <n v="34800"/>
    <n v="0"/>
    <x v="0"/>
  </r>
  <r>
    <n v="15"/>
    <x v="14"/>
    <s v="Ravi Gupta"/>
    <s v="Ravi Gupta"/>
    <s v="DDC CATV NETWORK PVT LTD"/>
    <s v="Delhi"/>
    <s v="Rental"/>
    <x v="1"/>
    <n v="10000"/>
    <n v="10000"/>
    <n v="1"/>
    <s v="Exclusive"/>
    <n v="10000"/>
    <n v="0"/>
    <n v="10000"/>
    <n v="1800"/>
    <n v="11800"/>
    <n v="112.68"/>
    <n v="11912.68"/>
    <n v="11912.68"/>
    <n v="0"/>
    <n v="11912.68"/>
    <n v="0"/>
    <x v="0"/>
  </r>
  <r>
    <n v="16"/>
    <x v="15"/>
    <s v="Harsh  Raghuvanshi"/>
    <s v="Harsh  Raghuvanshi"/>
    <s v="Harsh Cable Network"/>
    <s v="Madhya Pradesh"/>
    <s v="Rental"/>
    <x v="0"/>
    <n v="500"/>
    <n v="545"/>
    <n v="1.5"/>
    <s v="Exclusive"/>
    <n v="817.5"/>
    <n v="0"/>
    <n v="817.5"/>
    <n v="147.15"/>
    <n v="964.65"/>
    <n v="-2757.46"/>
    <n v="-1792.81"/>
    <n v="-1792.81"/>
    <n v="0"/>
    <n v="-1792.81"/>
    <n v="0"/>
    <x v="0"/>
  </r>
  <r>
    <n v="17"/>
    <x v="16"/>
    <s v="S.R.Babajan"/>
    <s v="S.R.Babajan"/>
    <s v="Neha Cable Network"/>
    <s v="Karnataka"/>
    <s v="Rental"/>
    <x v="2"/>
    <n v="1000"/>
    <n v="1000"/>
    <n v="1"/>
    <s v="Exclusive"/>
    <n v="1000"/>
    <n v="0"/>
    <n v="1000"/>
    <n v="180"/>
    <n v="1180"/>
    <n v="-3540"/>
    <n v="-2360"/>
    <n v="-2360"/>
    <n v="0"/>
    <n v="-2360"/>
    <n v="0"/>
    <x v="0"/>
  </r>
  <r>
    <n v="18"/>
    <x v="17"/>
    <s v="Gagan Arora"/>
    <s v="Gagan Arora"/>
    <s v="CRYSTAL VISION MEDIA PRIVATE LIMITED"/>
    <s v="Delhi"/>
    <s v="Rental"/>
    <x v="0"/>
    <n v="15000"/>
    <n v="15000"/>
    <n v="0.8"/>
    <s v="Exclusive"/>
    <n v="12000"/>
    <n v="0"/>
    <n v="12000"/>
    <n v="2160"/>
    <n v="14160"/>
    <n v="-2318"/>
    <n v="11842"/>
    <n v="11842"/>
    <n v="0"/>
    <n v="11842"/>
    <n v="0"/>
    <x v="0"/>
  </r>
  <r>
    <n v="19"/>
    <x v="18"/>
    <s v="SARABPREET SINGH"/>
    <s v="Sarabpreet Singh "/>
    <s v="BDS BROADBAND"/>
    <s v="Punjab"/>
    <s v="Rental"/>
    <x v="0"/>
    <n v="1000"/>
    <n v="1000"/>
    <n v="2"/>
    <s v="Exclusive"/>
    <n v="2000"/>
    <n v="0"/>
    <n v="2000"/>
    <n v="360"/>
    <n v="2360"/>
    <n v="-3029.5"/>
    <n v="-669.5"/>
    <n v="-669.5"/>
    <n v="0"/>
    <n v="-669.5"/>
    <n v="0"/>
    <x v="0"/>
  </r>
  <r>
    <n v="20"/>
    <x v="19"/>
    <s v="Ajeet"/>
    <s v="RAVI"/>
    <s v="jai maa kali cable network"/>
    <s v="Delhi"/>
    <s v="Rental"/>
    <x v="0"/>
    <n v="1000"/>
    <n v="1000"/>
    <n v="1"/>
    <s v="Exclusive"/>
    <n v="1000"/>
    <n v="0"/>
    <n v="1000"/>
    <n v="180"/>
    <n v="1180"/>
    <n v="0"/>
    <n v="1180"/>
    <n v="1180"/>
    <n v="0"/>
    <n v="1180"/>
    <n v="0"/>
    <x v="0"/>
  </r>
  <r>
    <n v="21"/>
    <x v="20"/>
    <s v="Ranjit"/>
    <s v="Ranjit"/>
    <s v="JMK Broadband"/>
    <s v="Delhi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22"/>
    <x v="21"/>
    <s v="Punish Bajaj"/>
    <s v="Punish Bajaj"/>
    <s v="Bajaj Cable Network"/>
    <s v="Delhi"/>
    <s v="Rental"/>
    <x v="0"/>
    <n v="1000"/>
    <n v="1000"/>
    <n v="2"/>
    <s v="Exclusive"/>
    <n v="2000"/>
    <n v="0"/>
    <n v="2000"/>
    <n v="360"/>
    <n v="2360"/>
    <n v="-489.43"/>
    <n v="1870.57"/>
    <n v="1870.57"/>
    <n v="0"/>
    <n v="1870.57"/>
    <n v="0"/>
    <x v="0"/>
  </r>
  <r>
    <n v="23"/>
    <x v="22"/>
    <s v="RAKESH CHAUHAN"/>
    <s v="RAKESH CHAUHAN"/>
    <s v="JMD CABLE NETWORK"/>
    <s v="Uttarakhand"/>
    <s v="Rental"/>
    <x v="0"/>
    <n v="1000"/>
    <n v="1000"/>
    <n v="2"/>
    <s v="Exclusive"/>
    <n v="2000"/>
    <n v="0"/>
    <n v="2000"/>
    <n v="360"/>
    <n v="2360"/>
    <n v="-3540.02"/>
    <n v="-1180.02"/>
    <n v="-1180.02"/>
    <n v="0"/>
    <n v="-1180.02"/>
    <n v="0"/>
    <x v="0"/>
  </r>
  <r>
    <n v="24"/>
    <x v="23"/>
    <s v="Manoj Kumar Phutela"/>
    <s v="Manoj Kumar Phutela"/>
    <s v="MUSKAN COMMUNICATION"/>
    <s v="Rajasthan"/>
    <s v="Rental"/>
    <x v="0"/>
    <n v="5000"/>
    <n v="5000"/>
    <n v="1"/>
    <s v="Exclusive"/>
    <n v="5000"/>
    <n v="0"/>
    <n v="5000"/>
    <n v="900"/>
    <n v="5900"/>
    <n v="-0.39"/>
    <n v="5899.61"/>
    <n v="5899.61"/>
    <n v="0"/>
    <n v="5899.61"/>
    <n v="0"/>
    <x v="0"/>
  </r>
  <r>
    <n v="25"/>
    <x v="24"/>
    <s v="AMANDEEP SINGH"/>
    <s v="Amandeep Singh"/>
    <s v="AB CABLE TV NETWORK"/>
    <s v="Punjab"/>
    <s v="Rental"/>
    <x v="0"/>
    <n v="5000"/>
    <n v="5000"/>
    <n v="1"/>
    <s v="Exclusive"/>
    <n v="5000"/>
    <n v="0"/>
    <n v="5000"/>
    <n v="900"/>
    <n v="5900"/>
    <n v="-0.06"/>
    <n v="5899.94"/>
    <n v="5899.94"/>
    <n v="0"/>
    <n v="5899.94"/>
    <n v="0"/>
    <x v="0"/>
  </r>
  <r>
    <n v="26"/>
    <x v="25"/>
    <s v="Sridhar KM"/>
    <s v="SHILPA G"/>
    <s v="Maruthi Enterprises"/>
    <s v="Karnataka"/>
    <s v="Rental"/>
    <x v="0"/>
    <n v="1000"/>
    <n v="1543"/>
    <n v="2"/>
    <s v="Exclusive"/>
    <n v="3086"/>
    <n v="0"/>
    <n v="3086"/>
    <n v="555.48"/>
    <n v="3641.48"/>
    <n v="-0.46"/>
    <n v="3641.02"/>
    <n v="3641.02"/>
    <n v="0"/>
    <n v="3641.02"/>
    <n v="0"/>
    <x v="0"/>
  </r>
  <r>
    <n v="27"/>
    <x v="26"/>
    <s v="Naveeen Kumar"/>
    <s v="Naveeen Kumar"/>
    <s v="Naveen Electronics &amp; Cable"/>
    <s v="Rajasthan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28"/>
    <x v="27"/>
    <s v="RAKESH SABLOK"/>
    <s v="RAKESH"/>
    <s v="SHYAMA CABLE NETWORK"/>
    <s v="Delhi"/>
    <s v="Rental"/>
    <x v="0"/>
    <n v="1000"/>
    <n v="1000"/>
    <n v="1"/>
    <s v="Exclusive"/>
    <n v="1000"/>
    <n v="0"/>
    <n v="1000"/>
    <n v="180"/>
    <n v="1180"/>
    <n v="-0.23"/>
    <n v="1179.77"/>
    <n v="1179.77"/>
    <n v="0"/>
    <n v="1179.77"/>
    <n v="0"/>
    <x v="0"/>
  </r>
  <r>
    <n v="29"/>
    <x v="28"/>
    <s v="Maninder Singh"/>
    <s v="Maninder Singh"/>
    <s v="Modern Video Lab and Cable Network"/>
    <s v="Punjab"/>
    <s v="Rental"/>
    <x v="0"/>
    <n v="1000"/>
    <n v="1000"/>
    <n v="2"/>
    <s v="Exclusive"/>
    <n v="2000"/>
    <n v="0"/>
    <n v="2000"/>
    <n v="360"/>
    <n v="2360"/>
    <n v="0.3"/>
    <n v="2360.3000000000002"/>
    <n v="2360.3000000000002"/>
    <n v="0"/>
    <n v="2360.3000000000002"/>
    <n v="0"/>
    <x v="0"/>
  </r>
  <r>
    <n v="30"/>
    <x v="29"/>
    <s v="Parmeshwari Sharma"/>
    <s v="Parmeshwari Sharma"/>
    <s v="Sharma Cable Network"/>
    <s v="Himachal Pradesh"/>
    <s v="Rental"/>
    <x v="0"/>
    <n v="1000"/>
    <n v="1000"/>
    <n v="2"/>
    <s v="Exclusive"/>
    <n v="2000"/>
    <n v="0"/>
    <n v="2000"/>
    <n v="360"/>
    <n v="2360"/>
    <n v="-60"/>
    <n v="2300"/>
    <n v="2300"/>
    <n v="0"/>
    <n v="2300"/>
    <n v="0"/>
    <x v="0"/>
  </r>
  <r>
    <n v="31"/>
    <x v="30"/>
    <s v="R.K.Sethi"/>
    <s v="R.K.Sethi"/>
    <s v="Y.V.N Cable Network"/>
    <s v="Delhi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32"/>
    <x v="31"/>
    <s v="Manoj juneja"/>
    <s v="Sanjeev chetwani"/>
    <s v="SANJAY CABLE NETWORK PVT.  LTD."/>
    <s v="Delhi"/>
    <s v="Rental"/>
    <x v="0"/>
    <n v="1000"/>
    <n v="1037"/>
    <n v="2"/>
    <s v="Exclusive"/>
    <n v="2074"/>
    <n v="0"/>
    <n v="2074"/>
    <n v="373.32"/>
    <n v="2447.3200000000002"/>
    <n v="0"/>
    <n v="2447.3200000000002"/>
    <n v="2447.3200000000002"/>
    <n v="0"/>
    <n v="2447.3200000000002"/>
    <n v="0"/>
    <x v="0"/>
  </r>
  <r>
    <n v="33"/>
    <x v="32"/>
    <s v="AASHISH SHIRKE"/>
    <s v="Bharti Auti"/>
    <s v="AASHISH CABLE NET I PVT LTD"/>
    <s v="Maharashtra"/>
    <s v="Rental"/>
    <x v="0"/>
    <n v="1000"/>
    <n v="6203"/>
    <n v="2"/>
    <s v="Exclusive"/>
    <n v="12406"/>
    <n v="0"/>
    <n v="12406"/>
    <n v="2233.08"/>
    <n v="14639.08"/>
    <n v="0.03"/>
    <n v="14639.11"/>
    <n v="14639.11"/>
    <n v="0"/>
    <n v="14639.11"/>
    <n v="0"/>
    <x v="0"/>
  </r>
  <r>
    <n v="34"/>
    <x v="33"/>
    <s v="D.K.SETHIA"/>
    <s v="D.K.SETHIA"/>
    <s v="INDIAN CABLE NET COMPANY LIMITED"/>
    <s v="Uttar Pradesh"/>
    <s v="Rental"/>
    <x v="0"/>
    <n v="1000"/>
    <n v="1788"/>
    <n v="2"/>
    <s v="Exclusive"/>
    <n v="3576"/>
    <n v="0"/>
    <n v="3576"/>
    <n v="643.67999999999995"/>
    <n v="4219.68"/>
    <n v="544.87"/>
    <n v="4764.55"/>
    <n v="4764.55"/>
    <n v="0"/>
    <n v="4764.55"/>
    <n v="0"/>
    <x v="0"/>
  </r>
  <r>
    <n v="35"/>
    <x v="34"/>
    <s v="DHARAMVIR SINGH"/>
    <s v="Ranjeet"/>
    <s v="KATARIA CABLES"/>
    <s v="Haryana"/>
    <s v="Rental"/>
    <x v="0"/>
    <n v="800"/>
    <n v="800"/>
    <n v="1"/>
    <s v="Exclusive"/>
    <n v="800"/>
    <n v="0"/>
    <n v="800"/>
    <n v="144"/>
    <n v="944"/>
    <n v="-2820.45"/>
    <n v="-1876.4499999999998"/>
    <n v="-1876.45"/>
    <n v="0"/>
    <n v="-1876.45"/>
    <n v="0"/>
    <x v="0"/>
  </r>
  <r>
    <n v="36"/>
    <x v="35"/>
    <s v="SURENDER SEHRAWAT"/>
    <s v="surender kumar"/>
    <s v="CLASSIC CABLE NETWORK"/>
    <s v="Haryana"/>
    <s v="Rental"/>
    <x v="0"/>
    <n v="1000"/>
    <n v="1000"/>
    <n v="2"/>
    <s v="Exclusive"/>
    <n v="2000"/>
    <n v="0"/>
    <n v="2000"/>
    <n v="360"/>
    <n v="2360"/>
    <n v="0.54"/>
    <n v="2360.54"/>
    <n v="2360.54"/>
    <n v="0"/>
    <n v="2360.54"/>
    <n v="0"/>
    <x v="0"/>
  </r>
  <r>
    <n v="37"/>
    <x v="36"/>
    <s v="Anil Kumar N. Dhabi"/>
    <s v="Anil Kumar N. Dhabi"/>
    <s v="Jay Video"/>
    <s v="Gujarat"/>
    <s v="Rental"/>
    <x v="0"/>
    <n v="1000"/>
    <n v="2019"/>
    <n v="2"/>
    <s v="Exclusive"/>
    <n v="4038"/>
    <n v="0"/>
    <n v="4038"/>
    <n v="726.83999999999992"/>
    <n v="4764.84"/>
    <n v="-0.08"/>
    <n v="4764.76"/>
    <n v="4764.76"/>
    <n v="0"/>
    <n v="4764.76"/>
    <n v="0"/>
    <x v="0"/>
  </r>
  <r>
    <n v="38"/>
    <x v="37"/>
    <s v="Sanjeet Ramniklal Shah"/>
    <s v="Sanjeet Ramniklal Shah"/>
    <s v="WorldWide Satellite Cable Network"/>
    <s v="Maharashtra"/>
    <s v="Rental"/>
    <x v="0"/>
    <n v="1000"/>
    <n v="1000"/>
    <n v="1"/>
    <s v="Exclusive"/>
    <n v="1000"/>
    <n v="0"/>
    <n v="1000"/>
    <n v="180"/>
    <n v="1180"/>
    <n v="0"/>
    <n v="1180"/>
    <n v="1180"/>
    <n v="0"/>
    <n v="1180"/>
    <n v="0"/>
    <x v="0"/>
  </r>
  <r>
    <n v="39"/>
    <x v="38"/>
    <s v="Satish Kalra"/>
    <s v="Chanchal Tiwari"/>
    <s v="Tushar Digital Cable Network"/>
    <s v="Rajasthan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40"/>
    <x v="39"/>
    <s v="BUDHI SINGH PANWAR"/>
    <s v="BUDHI SINGH PANWAR"/>
    <s v="SHIVAM CABLE NETWORK"/>
    <s v="Uttarakhand"/>
    <s v="Rental"/>
    <x v="0"/>
    <n v="1000"/>
    <n v="1000"/>
    <n v="2"/>
    <s v="Exclusive"/>
    <n v="2250"/>
    <n v="0"/>
    <n v="2250"/>
    <n v="405"/>
    <n v="2655"/>
    <n v="0.39"/>
    <n v="2655.39"/>
    <n v="2655.39"/>
    <n v="0"/>
    <n v="2655.39"/>
    <n v="0"/>
    <x v="0"/>
  </r>
  <r>
    <n v="41"/>
    <x v="40"/>
    <s v="SANJAY B.N."/>
    <s v="SANJAY B.N."/>
    <s v="CHANAKYA DIGITAL CABLE"/>
    <s v="Karnataka"/>
    <s v="Rental"/>
    <x v="0"/>
    <n v="1000"/>
    <n v="1000"/>
    <n v="2"/>
    <s v="Exclusive"/>
    <n v="2000"/>
    <n v="0"/>
    <n v="2000"/>
    <n v="360"/>
    <n v="2360"/>
    <n v="-0.18"/>
    <n v="2359.8200000000002"/>
    <n v="2359.8200000000002"/>
    <n v="0"/>
    <n v="2359.8200000000002"/>
    <n v="0"/>
    <x v="0"/>
  </r>
  <r>
    <n v="42"/>
    <x v="41"/>
    <s v="Madhur Rathore"/>
    <s v="Madhur Rathore"/>
    <s v="Sanjay TV Communication &amp; Electricals"/>
    <s v="Madhya Pradesh"/>
    <s v="Rental"/>
    <x v="0"/>
    <n v="500"/>
    <n v="500"/>
    <n v="2"/>
    <s v="Exclusive"/>
    <n v="1000"/>
    <n v="0"/>
    <n v="1000"/>
    <n v="180"/>
    <n v="1180"/>
    <n v="-0.05"/>
    <n v="1179.95"/>
    <n v="1179.95"/>
    <n v="0"/>
    <n v="1179.95"/>
    <n v="0"/>
    <x v="0"/>
  </r>
  <r>
    <n v="43"/>
    <x v="42"/>
    <s v="N K Nagabushana"/>
    <s v="Ishwari"/>
    <s v="VARUN ENTERPRISES"/>
    <s v="Karnataka"/>
    <s v="Rental"/>
    <x v="0"/>
    <n v="1000"/>
    <n v="1000"/>
    <n v="2"/>
    <s v="Exclusive"/>
    <n v="2000"/>
    <n v="0"/>
    <n v="2000"/>
    <n v="360"/>
    <n v="2360"/>
    <n v="-484.26"/>
    <n v="1875.74"/>
    <n v="1875.74"/>
    <n v="0"/>
    <n v="1875.74"/>
    <n v="0"/>
    <x v="0"/>
  </r>
  <r>
    <n v="44"/>
    <x v="43"/>
    <s v="brjesh pratap dube"/>
    <s v="brjesh pratap dube"/>
    <s v="kamtanath cebil system"/>
    <s v="Uttar Pradesh"/>
    <s v="Rental"/>
    <x v="0"/>
    <n v="1000"/>
    <n v="1000"/>
    <n v="2"/>
    <s v="Exclusive"/>
    <n v="2000"/>
    <n v="0"/>
    <n v="2000"/>
    <n v="360"/>
    <n v="2360"/>
    <n v="-0.38"/>
    <n v="2359.62"/>
    <n v="2359.62"/>
    <n v="0"/>
    <n v="2359.62"/>
    <n v="0"/>
    <x v="0"/>
  </r>
  <r>
    <n v="45"/>
    <x v="44"/>
    <s v="Shiv"/>
    <s v="Shiv"/>
    <s v="Shivas Cable"/>
    <s v="Punjab"/>
    <s v="Rental"/>
    <x v="0"/>
    <n v="1000"/>
    <n v="1149"/>
    <n v="2"/>
    <s v="Exclusive"/>
    <n v="2298"/>
    <n v="0"/>
    <n v="2298"/>
    <n v="413.64"/>
    <n v="2711.64"/>
    <n v="-0.24"/>
    <n v="2711.4"/>
    <n v="2711.4"/>
    <n v="0"/>
    <n v="2711.4"/>
    <n v="0"/>
    <x v="0"/>
  </r>
  <r>
    <n v="46"/>
    <x v="45"/>
    <s v="Rakesh Bhatia"/>
    <s v="Rakesh Bhatia"/>
    <s v="Bhatia Cable TV Network"/>
    <s v="Delhi"/>
    <s v="Rental"/>
    <x v="0"/>
    <n v="1000"/>
    <n v="1000"/>
    <n v="1"/>
    <s v="Exclusive"/>
    <n v="1000"/>
    <n v="0"/>
    <n v="1000"/>
    <n v="180"/>
    <n v="1180"/>
    <n v="40"/>
    <n v="1220"/>
    <n v="1220"/>
    <n v="0"/>
    <n v="1220"/>
    <n v="0"/>
    <x v="0"/>
  </r>
  <r>
    <n v="47"/>
    <x v="46"/>
    <s v="bharat bhushan "/>
    <s v="bharat bhushan"/>
    <s v="star cable  network"/>
    <s v="Uttarakhand"/>
    <s v="Rental"/>
    <x v="2"/>
    <n v="1000"/>
    <n v="1323"/>
    <n v="2"/>
    <s v="Exclusive"/>
    <n v="2646"/>
    <n v="0"/>
    <n v="2646"/>
    <n v="476.28"/>
    <n v="3122.2799999999997"/>
    <n v="0"/>
    <n v="3122.2799999999997"/>
    <n v="3122.28"/>
    <n v="0"/>
    <n v="3122.28"/>
    <n v="0"/>
    <x v="0"/>
  </r>
  <r>
    <n v="48"/>
    <x v="47"/>
    <s v="Arvind Shelke"/>
    <s v="Arvind Shelke"/>
    <s v="A.S. Cable Network"/>
    <s v="Maharashtra"/>
    <s v="Rental"/>
    <x v="0"/>
    <n v="1000"/>
    <n v="2055"/>
    <n v="2"/>
    <s v="Exclusive"/>
    <n v="4110"/>
    <n v="0"/>
    <n v="4110"/>
    <n v="739.8"/>
    <n v="4849.8"/>
    <n v="-426.58"/>
    <n v="4423.22"/>
    <n v="4423.22"/>
    <n v="0"/>
    <n v="4423.22"/>
    <n v="0"/>
    <x v="0"/>
  </r>
  <r>
    <n v="49"/>
    <x v="48"/>
    <s v="Gopinath Kaveti"/>
    <s v="Gopinath Kaveti"/>
    <s v="V-5 Digital Network"/>
    <s v="Karnataka"/>
    <s v="Rental"/>
    <x v="0"/>
    <n v="1000"/>
    <n v="1555"/>
    <n v="2"/>
    <s v="Exclusive"/>
    <n v="3110"/>
    <n v="0"/>
    <n v="3110"/>
    <n v="559.79999999999995"/>
    <n v="3669.8"/>
    <n v="0.21"/>
    <n v="3670.01"/>
    <n v="3670.01"/>
    <n v="0"/>
    <n v="3670.01"/>
    <n v="0"/>
    <x v="0"/>
  </r>
  <r>
    <n v="50"/>
    <x v="49"/>
    <s v="Javed Naseer Khan"/>
    <s v="Javed Naseer Khan"/>
    <s v="Manoranjan Network"/>
    <s v="Delhi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51"/>
    <x v="50"/>
    <s v="Rajesh Sharma"/>
    <s v="Pawan gupta, Vikas"/>
    <s v="SURYA CABLE TV NETWORK"/>
    <s v="Delhi"/>
    <s v="Rental"/>
    <x v="0"/>
    <n v="10000"/>
    <n v="10000"/>
    <n v="1"/>
    <s v="Exclusive"/>
    <n v="10000"/>
    <n v="0"/>
    <n v="10000"/>
    <n v="1800"/>
    <n v="11800"/>
    <n v="-0.28000000000000003"/>
    <n v="11799.72"/>
    <n v="11799.72"/>
    <n v="0"/>
    <n v="11799.72"/>
    <n v="0"/>
    <x v="0"/>
  </r>
  <r>
    <n v="52"/>
    <x v="51"/>
    <s v="Santhosh Kumar Janardhanan"/>
    <s v="Santhosh Kumar Janardhanan"/>
    <s v="Sandeep Communication"/>
    <s v="Kerala"/>
    <s v="Rental"/>
    <x v="0"/>
    <n v="1000"/>
    <n v="3367"/>
    <n v="2"/>
    <s v="Exclusive"/>
    <n v="6734"/>
    <n v="0"/>
    <n v="6734"/>
    <n v="1212.1199999999999"/>
    <n v="7946.12"/>
    <n v="-0.46"/>
    <n v="7945.66"/>
    <n v="7945.66"/>
    <n v="0"/>
    <n v="7945.66"/>
    <n v="0"/>
    <x v="0"/>
  </r>
  <r>
    <n v="53"/>
    <x v="52"/>
    <s v="M.KESHAVAIAH NAIDU"/>
    <s v="M KESHAVAIAH NAIDU"/>
    <s v="Sri Raghavendra Enterprises"/>
    <s v="Karnataka"/>
    <s v="Rental"/>
    <x v="0"/>
    <n v="1000"/>
    <n v="2782"/>
    <n v="2"/>
    <s v="Exclusive"/>
    <n v="5564"/>
    <n v="0"/>
    <n v="5564"/>
    <n v="1001.52"/>
    <n v="6565.52"/>
    <n v="-0.12"/>
    <n v="6565.4000000000005"/>
    <n v="6565.4"/>
    <n v="0"/>
    <n v="6565.4"/>
    <n v="0"/>
    <x v="0"/>
  </r>
  <r>
    <n v="54"/>
    <x v="53"/>
    <s v="Manoj Sharma"/>
    <s v="Manoj Kumar"/>
    <s v="Media Cable TV"/>
    <s v="Assam"/>
    <s v="Rental"/>
    <x v="0"/>
    <n v="1000"/>
    <n v="1000"/>
    <n v="1"/>
    <s v="Exclusive"/>
    <n v="1000"/>
    <n v="0"/>
    <n v="1000"/>
    <n v="180"/>
    <n v="1180"/>
    <n v="0"/>
    <n v="1180"/>
    <n v="1180"/>
    <n v="0"/>
    <n v="1180"/>
    <n v="0"/>
    <x v="0"/>
  </r>
  <r>
    <n v="55"/>
    <x v="54"/>
    <s v="Somashekar"/>
    <s v="Somashekhar"/>
    <s v="Sri Manjunatha Star Vision"/>
    <s v="Karnataka"/>
    <s v="Rental"/>
    <x v="0"/>
    <n v="1000"/>
    <n v="4772"/>
    <n v="2"/>
    <s v="Exclusive"/>
    <n v="9544"/>
    <n v="0"/>
    <n v="9544"/>
    <n v="1717.9199999999998"/>
    <n v="11261.92"/>
    <n v="-0.11"/>
    <n v="11261.81"/>
    <n v="11261.81"/>
    <n v="0"/>
    <n v="11261.81"/>
    <n v="0"/>
    <x v="0"/>
  </r>
  <r>
    <n v="56"/>
    <x v="55"/>
    <s v="Md. Chand"/>
    <s v="Md. Chand"/>
    <s v="Md. Chand Cable Television Network"/>
    <s v="Jharkhand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57"/>
    <x v="56"/>
    <s v="Om Raj Purohit"/>
    <s v="Om Raj Purohit"/>
    <s v="Sourabh cable"/>
    <s v="Rajasthan"/>
    <s v="Rental"/>
    <x v="0"/>
    <n v="1000"/>
    <n v="3265"/>
    <n v="2"/>
    <s v="Exclusive"/>
    <n v="6530"/>
    <n v="0"/>
    <n v="6530"/>
    <n v="1175.3999999999999"/>
    <n v="7705.4"/>
    <n v="0"/>
    <n v="7705.4"/>
    <n v="7705.4"/>
    <n v="0"/>
    <n v="7705.4"/>
    <n v="0"/>
    <x v="0"/>
  </r>
  <r>
    <n v="58"/>
    <x v="57"/>
    <s v="Vimal Gulati"/>
    <s v="Vimal Gulati"/>
    <s v="Shree Shakti Channel Vision"/>
    <s v="Gujarat"/>
    <s v="Rental"/>
    <x v="0"/>
    <n v="1000"/>
    <n v="2141"/>
    <n v="2"/>
    <s v="Exclusive"/>
    <n v="4282"/>
    <n v="0"/>
    <n v="4282"/>
    <n v="770.76"/>
    <n v="5052.76"/>
    <n v="-39.68"/>
    <n v="5013.08"/>
    <n v="5013.08"/>
    <n v="0"/>
    <n v="5013.08"/>
    <n v="0"/>
    <x v="0"/>
  </r>
  <r>
    <n v="59"/>
    <x v="58"/>
    <s v="Ranjoy Sarkar"/>
    <s v="Ranjoy Sarkar"/>
    <s v="Drishti Netcom"/>
    <s v="West Bengal"/>
    <s v="Rental"/>
    <x v="0"/>
    <n v="1000"/>
    <n v="2386"/>
    <n v="2"/>
    <s v="Exclusive"/>
    <n v="4772"/>
    <n v="0"/>
    <n v="4772"/>
    <n v="858.95999999999992"/>
    <n v="5630.96"/>
    <n v="0.18"/>
    <n v="5631.14"/>
    <n v="5631.14"/>
    <n v="0"/>
    <n v="5631.14"/>
    <n v="0"/>
    <x v="0"/>
  </r>
  <r>
    <n v="60"/>
    <x v="59"/>
    <s v="RAKESH GUPTA KOLI"/>
    <s v="RAKESH GUPTA(KOLI)"/>
    <s v="SHRI VISION"/>
    <s v="Maharashtra"/>
    <s v="Rental"/>
    <x v="0"/>
    <n v="1000"/>
    <n v="1000"/>
    <n v="2"/>
    <s v="Exclusive"/>
    <n v="2000"/>
    <n v="0"/>
    <n v="2000"/>
    <n v="360"/>
    <n v="2360"/>
    <n v="0.14000000000000001"/>
    <n v="2360.14"/>
    <n v="2360.14"/>
    <n v="0"/>
    <n v="2360.14"/>
    <n v="0"/>
    <x v="0"/>
  </r>
  <r>
    <n v="61"/>
    <x v="60"/>
    <s v="Mahinder Kumar"/>
    <s v="Mehendra Kumar"/>
    <s v="JAI AMBEY CABLE NETWORK"/>
    <s v="Delhi"/>
    <s v="Rental"/>
    <x v="0"/>
    <n v="1000"/>
    <n v="1000"/>
    <n v="2"/>
    <s v="Exclusive"/>
    <n v="2000"/>
    <n v="0"/>
    <n v="2000"/>
    <n v="360"/>
    <n v="2360"/>
    <n v="-0.34"/>
    <n v="2359.66"/>
    <n v="2359.66"/>
    <n v="0"/>
    <n v="2359.66"/>
    <n v="0"/>
    <x v="0"/>
  </r>
  <r>
    <n v="62"/>
    <x v="61"/>
    <s v="Ishwer Sankhla"/>
    <s v="Ishwer Sankhla"/>
    <s v="Maruthi  Digital"/>
    <s v="Rajasthan"/>
    <s v="Rental"/>
    <x v="0"/>
    <n v="1000"/>
    <n v="2737"/>
    <n v="2"/>
    <s v="Exclusive"/>
    <n v="5474"/>
    <n v="0"/>
    <n v="5474"/>
    <n v="985.31999999999994"/>
    <n v="6459.32"/>
    <n v="-0.14000000000000001"/>
    <n v="6459.1799999999994"/>
    <n v="6459.18"/>
    <n v="0"/>
    <n v="6459.18"/>
    <n v="0"/>
    <x v="0"/>
  </r>
  <r>
    <n v="63"/>
    <x v="62"/>
    <s v="Basanta Kumar Sahoo"/>
    <s v="Basanta Kumar Sahoo"/>
    <s v="Tarini cable network"/>
    <s v="Odisha"/>
    <s v="Rental"/>
    <x v="0"/>
    <n v="1000"/>
    <n v="1493"/>
    <n v="2"/>
    <s v="Exclusive"/>
    <n v="2986"/>
    <n v="0"/>
    <n v="2986"/>
    <n v="537.48"/>
    <n v="3523.48"/>
    <n v="-0.3"/>
    <n v="3523.18"/>
    <n v="3523.18"/>
    <n v="0"/>
    <n v="3523.18"/>
    <n v="0"/>
    <x v="0"/>
  </r>
  <r>
    <n v="64"/>
    <x v="63"/>
    <s v="BHASKAR YASHWANT GHADWAJE"/>
    <s v="BHASKAR YASHWANT GHADWAJE"/>
    <s v="VICKY CABLE NETWORK"/>
    <s v="Maharashtra"/>
    <s v="Rental"/>
    <x v="0"/>
    <n v="1000"/>
    <n v="1156"/>
    <n v="2"/>
    <s v="Exclusive"/>
    <n v="2312"/>
    <n v="0"/>
    <n v="2312"/>
    <n v="416.15999999999997"/>
    <n v="2728.16"/>
    <n v="-0.32"/>
    <n v="2727.8399999999997"/>
    <n v="2727.84"/>
    <n v="0"/>
    <n v="2727.84"/>
    <n v="0"/>
    <x v="0"/>
  </r>
  <r>
    <n v="65"/>
    <x v="64"/>
    <s v="Pravinbhai Deshmukh"/>
    <s v="Paresh"/>
    <s v="Sri Krishna Cable Vision"/>
    <s v="Gujarat"/>
    <s v="Rental"/>
    <x v="0"/>
    <n v="1000"/>
    <n v="1000"/>
    <n v="2"/>
    <s v="Exclusive"/>
    <n v="2000"/>
    <n v="0"/>
    <n v="2000"/>
    <n v="360"/>
    <n v="2360"/>
    <n v="-0.26"/>
    <n v="2359.7399999999998"/>
    <n v="2359.7399999999998"/>
    <n v="0"/>
    <n v="2359.7399999999998"/>
    <n v="0"/>
    <x v="0"/>
  </r>
  <r>
    <n v="66"/>
    <x v="65"/>
    <s v="Jugnu M Gandhi"/>
    <s v="Jugnu M Gandhi"/>
    <s v="W &amp; J Cable Service"/>
    <s v="Gujarat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67"/>
    <x v="66"/>
    <s v="SURENDER SEHRAWAT"/>
    <s v="Mr.PRAMOD YADAV"/>
    <s v="CLASSIC CABLE NETWORK"/>
    <s v="Haryana"/>
    <s v="Rental"/>
    <x v="0"/>
    <n v="1000"/>
    <n v="1094"/>
    <n v="2"/>
    <s v="Exclusive"/>
    <n v="2188"/>
    <n v="0"/>
    <n v="2188"/>
    <n v="393.84"/>
    <n v="2581.84"/>
    <n v="-0.3"/>
    <n v="2581.54"/>
    <n v="2581.54"/>
    <n v="0"/>
    <n v="2581.54"/>
    <n v="0"/>
    <x v="0"/>
  </r>
  <r>
    <n v="68"/>
    <x v="67"/>
    <s v="Mukesh Jani"/>
    <s v="Mukesh Jani"/>
    <s v="Accurate Network CTV"/>
    <s v="Gujarat"/>
    <s v="Rental"/>
    <x v="0"/>
    <n v="1000"/>
    <n v="1000"/>
    <n v="1"/>
    <s v="Exclusive"/>
    <n v="1000"/>
    <n v="0"/>
    <n v="1000"/>
    <n v="180"/>
    <n v="1180"/>
    <n v="99.86"/>
    <n v="1279.8599999999999"/>
    <n v="1279.8599999999999"/>
    <n v="0"/>
    <n v="1279.8599999999999"/>
    <n v="0"/>
    <x v="0"/>
  </r>
  <r>
    <n v="69"/>
    <x v="68"/>
    <s v="rajesh chauhan"/>
    <s v="rajesh chauhan"/>
    <s v="New Tehri cable network"/>
    <s v="Uttarakhand"/>
    <s v="Rental"/>
    <x v="0"/>
    <n v="1000"/>
    <n v="1526"/>
    <n v="2"/>
    <s v="Exclusive"/>
    <n v="3052"/>
    <n v="0"/>
    <n v="3052"/>
    <n v="549.36"/>
    <n v="3601.36"/>
    <n v="0.64"/>
    <n v="3602"/>
    <n v="3602"/>
    <n v="0"/>
    <n v="3602"/>
    <n v="0"/>
    <x v="0"/>
  </r>
  <r>
    <n v="70"/>
    <x v="69"/>
    <s v="Hemanth Raghvendra"/>
    <s v="Arun Kumar"/>
    <s v="Transmissions"/>
    <s v="Karnataka"/>
    <s v="Rental"/>
    <x v="0"/>
    <n v="1000"/>
    <n v="1000"/>
    <n v="2"/>
    <s v="Exclusive"/>
    <n v="2000"/>
    <n v="0"/>
    <n v="2000"/>
    <n v="360"/>
    <n v="2360"/>
    <n v="-9.68"/>
    <n v="2350.3200000000002"/>
    <n v="2350.3200000000002"/>
    <n v="0"/>
    <n v="2350.3200000000002"/>
    <n v="0"/>
    <x v="0"/>
  </r>
  <r>
    <n v="71"/>
    <x v="70"/>
    <s v="Umeshbhai Patel"/>
    <s v="Umeshbhai Patel"/>
    <s v="SHIVAM VISION"/>
    <s v="Gujarat"/>
    <s v="Rental"/>
    <x v="0"/>
    <n v="1000"/>
    <n v="1569"/>
    <n v="2"/>
    <s v="Exclusive"/>
    <n v="3138"/>
    <n v="0"/>
    <n v="3138"/>
    <n v="564.84"/>
    <n v="3702.84"/>
    <n v="-9.94"/>
    <n v="3692.9"/>
    <n v="3692.9"/>
    <n v="0"/>
    <n v="3692.9"/>
    <n v="0"/>
    <x v="0"/>
  </r>
  <r>
    <n v="72"/>
    <x v="71"/>
    <s v="Mukesh Saxena"/>
    <s v="Mukesh Saxena"/>
    <s v="Akash Digital Network"/>
    <s v="Uttar Pradesh"/>
    <s v="Rental"/>
    <x v="0"/>
    <n v="1000"/>
    <n v="1000"/>
    <n v="2"/>
    <s v="Exclusive"/>
    <n v="2000"/>
    <n v="0"/>
    <n v="2000"/>
    <n v="360"/>
    <n v="2360"/>
    <n v="240.4"/>
    <n v="2600.4"/>
    <n v="2600.4"/>
    <n v="0"/>
    <n v="2600.4"/>
    <n v="0"/>
    <x v="0"/>
  </r>
  <r>
    <n v="73"/>
    <x v="72"/>
    <s v="YASH GUPTA"/>
    <s v="Jitendra Gupta / Nandkishore"/>
    <s v="YASH DIGITAL NETWORK"/>
    <s v="Himachal Pradesh"/>
    <s v="Rental"/>
    <x v="0"/>
    <n v="1000"/>
    <n v="1000"/>
    <n v="2"/>
    <s v="Exclusive"/>
    <n v="2000"/>
    <n v="0"/>
    <n v="2000"/>
    <n v="360"/>
    <n v="2360"/>
    <n v="-1.7"/>
    <n v="2358.3000000000002"/>
    <n v="2358.3000000000002"/>
    <n v="0"/>
    <n v="2358.3000000000002"/>
    <n v="0"/>
    <x v="0"/>
  </r>
  <r>
    <n v="74"/>
    <x v="73"/>
    <s v="Hasmukh Ghelot"/>
    <s v="Hasmukh Ghelot"/>
    <s v="V4U MEDIA PVT LTD"/>
    <s v="Maharashtra"/>
    <s v="Rental"/>
    <x v="0"/>
    <n v="5000"/>
    <n v="5000"/>
    <n v="2"/>
    <s v="Exclusive"/>
    <n v="10000"/>
    <n v="0"/>
    <n v="10000"/>
    <n v="1800"/>
    <n v="11800"/>
    <n v="0.38"/>
    <n v="11800.38"/>
    <n v="11800.38"/>
    <n v="0"/>
    <n v="11800.38"/>
    <n v="0"/>
    <x v="0"/>
  </r>
  <r>
    <n v="75"/>
    <x v="74"/>
    <s v="Kulyesh Mehra"/>
    <s v="Kulyesh Mehra"/>
    <s v="Mehra Cable Network"/>
    <s v="Punjab"/>
    <s v="Rental"/>
    <x v="0"/>
    <n v="1000"/>
    <n v="1821"/>
    <n v="2"/>
    <s v="Exclusive"/>
    <n v="3642"/>
    <n v="0"/>
    <n v="3642"/>
    <n v="655.56"/>
    <n v="4297.5599999999995"/>
    <n v="0"/>
    <n v="4297.5599999999995"/>
    <n v="4297.5600000000004"/>
    <n v="0"/>
    <n v="4297.5600000000004"/>
    <n v="0"/>
    <x v="0"/>
  </r>
  <r>
    <n v="76"/>
    <x v="75"/>
    <s v="SATISH M.P."/>
    <s v="PRADEEP T.D."/>
    <s v="S-TEK COMMUNICATION"/>
    <s v="Karnataka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77"/>
    <x v="76"/>
    <s v="murali"/>
    <s v="murali"/>
    <s v="maruthi cables"/>
    <s v="Karnataka"/>
    <s v="Rental"/>
    <x v="0"/>
    <n v="1000"/>
    <n v="1276"/>
    <n v="2"/>
    <s v="Exclusive"/>
    <n v="2552"/>
    <n v="0"/>
    <n v="2552"/>
    <n v="459.35999999999996"/>
    <n v="3011.36"/>
    <n v="0"/>
    <n v="3011.36"/>
    <n v="3011.36"/>
    <n v="0"/>
    <n v="3011.36"/>
    <n v="0"/>
    <x v="0"/>
  </r>
  <r>
    <n v="78"/>
    <x v="77"/>
    <s v="Manoj Aggarwal"/>
    <s v="Manoj Aggarwal"/>
    <s v="AGRAWAL CABLE COMMUNICATION"/>
    <s v="Maharashtra"/>
    <s v="Rental"/>
    <x v="0"/>
    <n v="1000"/>
    <n v="1000"/>
    <n v="2"/>
    <s v="Exclusive"/>
    <n v="2000"/>
    <n v="0"/>
    <n v="2000"/>
    <n v="360"/>
    <n v="2360"/>
    <n v="-0.5"/>
    <n v="2359.5"/>
    <n v="2359.5"/>
    <n v="0"/>
    <n v="2359.5"/>
    <n v="0"/>
    <x v="0"/>
  </r>
  <r>
    <n v="79"/>
    <x v="78"/>
    <s v="Gajanan Mahadeo Sarvankar"/>
    <s v="Gajanan Mahadeo Sarvankar"/>
    <s v="Omkar Cable Services"/>
    <s v="Maharashtra"/>
    <s v="Rental"/>
    <x v="0"/>
    <n v="1000"/>
    <n v="1329"/>
    <n v="2"/>
    <s v="Exclusive"/>
    <n v="2658"/>
    <n v="0"/>
    <n v="2658"/>
    <n v="478.44"/>
    <n v="3136.44"/>
    <n v="-26.12"/>
    <n v="3110.32"/>
    <n v="3110.32"/>
    <n v="0"/>
    <n v="3110.32"/>
    <n v="0"/>
    <x v="0"/>
  </r>
  <r>
    <n v="80"/>
    <x v="79"/>
    <s v="Surinder Sobti"/>
    <s v="Surinder Sobti"/>
    <s v="Sobti Digital Cable"/>
    <s v="Haryana"/>
    <s v="Rental"/>
    <x v="0"/>
    <n v="1000"/>
    <n v="1091"/>
    <n v="2"/>
    <s v="Exclusive"/>
    <n v="2182"/>
    <n v="0"/>
    <n v="2182"/>
    <n v="392.76"/>
    <n v="2574.7600000000002"/>
    <n v="-0.34"/>
    <n v="2574.42"/>
    <n v="2574.42"/>
    <n v="0"/>
    <n v="2574.42"/>
    <n v="0"/>
    <x v="0"/>
  </r>
  <r>
    <n v="81"/>
    <x v="80"/>
    <s v="A.Sasikumar"/>
    <s v="A.Sasikumar"/>
    <s v="Nathan Cable Vision"/>
    <s v="Tamil Nadu"/>
    <s v="Rental"/>
    <x v="0"/>
    <n v="1000"/>
    <n v="2642"/>
    <n v="2"/>
    <s v="Exclusive"/>
    <n v="5284"/>
    <n v="0"/>
    <n v="5284"/>
    <n v="951.12"/>
    <n v="6235.12"/>
    <n v="0.38"/>
    <n v="6235.5"/>
    <n v="6235.5"/>
    <n v="0"/>
    <n v="6235.5"/>
    <n v="0"/>
    <x v="0"/>
  </r>
  <r>
    <n v="82"/>
    <x v="81"/>
    <s v="Sunil Sasan"/>
    <s v="Sunil Sasan"/>
    <s v="SKY NETWORKS"/>
    <s v="Delhi"/>
    <s v="Rental"/>
    <x v="0"/>
    <n v="1000"/>
    <n v="1000"/>
    <n v="2"/>
    <s v="Exclusive"/>
    <n v="2000"/>
    <n v="0"/>
    <n v="2000"/>
    <n v="360"/>
    <n v="2360"/>
    <n v="0.4"/>
    <n v="2360.4"/>
    <n v="2360.4"/>
    <n v="0"/>
    <n v="2360.4"/>
    <n v="0"/>
    <x v="0"/>
  </r>
  <r>
    <n v="83"/>
    <x v="82"/>
    <s v="rohit shukla"/>
    <s v="rohit shukla"/>
    <s v="SUMEET STAR VISION"/>
    <s v="Maharashtra"/>
    <s v="Rental"/>
    <x v="0"/>
    <n v="1000"/>
    <n v="1000"/>
    <n v="1"/>
    <s v="Exclusive"/>
    <n v="1000"/>
    <n v="0"/>
    <n v="1000"/>
    <n v="180"/>
    <n v="1180"/>
    <n v="-2599.9"/>
    <n v="-1419.9"/>
    <n v="-1419.9"/>
    <n v="0"/>
    <n v="-1419.9"/>
    <n v="0"/>
    <x v="0"/>
  </r>
  <r>
    <n v="84"/>
    <x v="83"/>
    <s v="Hari SIngh"/>
    <s v="Hari SIngh "/>
    <s v="Shri Naina Cable Network"/>
    <s v="Himachal Pradesh"/>
    <s v="Rental"/>
    <x v="0"/>
    <n v="1000"/>
    <n v="1000"/>
    <n v="1"/>
    <s v="Exclusive"/>
    <n v="1000"/>
    <n v="0"/>
    <n v="1000"/>
    <n v="180"/>
    <n v="1180"/>
    <n v="-1179.6199999999999"/>
    <n v="0.38000000000010914"/>
    <n v="0.38"/>
    <n v="1.0913492332065289E-13"/>
    <n v="0.38"/>
    <n v="0"/>
    <x v="0"/>
  </r>
  <r>
    <n v="85"/>
    <x v="84"/>
    <s v="Shakti Sharma"/>
    <s v="Shakti Sharma"/>
    <s v="Venus communication"/>
    <s v="Punjab"/>
    <s v="Rental"/>
    <x v="0"/>
    <n v="1000"/>
    <n v="2016"/>
    <n v="2"/>
    <s v="Exclusive"/>
    <n v="4032"/>
    <n v="0"/>
    <n v="4032"/>
    <n v="725.76"/>
    <n v="4757.76"/>
    <n v="0.4"/>
    <n v="4758.16"/>
    <n v="4758.16"/>
    <n v="0"/>
    <n v="4758.16"/>
    <n v="0"/>
    <x v="0"/>
  </r>
  <r>
    <n v="86"/>
    <x v="85"/>
    <s v="Ketan Dalal Biharilal"/>
    <s v="Ketan Dalal Biharilal"/>
    <s v="Shree Yamuna Cable Network"/>
    <s v="Gujarat"/>
    <s v="Rental"/>
    <x v="0"/>
    <n v="1000"/>
    <n v="1000"/>
    <n v="1"/>
    <s v="Exclusive"/>
    <n v="1000"/>
    <n v="0"/>
    <n v="1000"/>
    <n v="180"/>
    <n v="1180"/>
    <n v="0"/>
    <n v="1180"/>
    <n v="1180"/>
    <n v="0"/>
    <n v="1180"/>
    <n v="0"/>
    <x v="0"/>
  </r>
  <r>
    <n v="87"/>
    <x v="86"/>
    <s v="Vikram L Chindaliya"/>
    <s v="Vikram L Chindaliya"/>
    <s v="Vikram Cable Network"/>
    <s v="Maharashtra"/>
    <s v="Rental"/>
    <x v="0"/>
    <n v="1000"/>
    <n v="1803"/>
    <n v="2"/>
    <s v="Exclusive"/>
    <n v="3606"/>
    <n v="0"/>
    <n v="3606"/>
    <n v="649.07999999999993"/>
    <n v="4255.08"/>
    <n v="0.44"/>
    <n v="4255.5199999999995"/>
    <n v="4255.5200000000004"/>
    <n v="0"/>
    <n v="4255.5200000000004"/>
    <n v="0"/>
    <x v="0"/>
  </r>
  <r>
    <n v="88"/>
    <x v="87"/>
    <s v="Wilson pinto"/>
    <s v="Wilson pinto"/>
    <s v="Bharath electronics"/>
    <s v="Karnataka"/>
    <s v="Rental"/>
    <x v="0"/>
    <n v="1000"/>
    <n v="1000"/>
    <n v="2"/>
    <s v="Exclusive"/>
    <n v="2000"/>
    <n v="0"/>
    <n v="2000"/>
    <n v="360"/>
    <n v="2360"/>
    <n v="0.52"/>
    <n v="2360.52"/>
    <n v="2360.52"/>
    <n v="0"/>
    <n v="2360.52"/>
    <n v="0"/>
    <x v="0"/>
  </r>
  <r>
    <n v="89"/>
    <x v="88"/>
    <s v="Shiva Gowda"/>
    <s v="Wilson"/>
    <s v="Thriveni Sangam Cable TV Network"/>
    <s v="Karnataka"/>
    <s v="Rental"/>
    <x v="0"/>
    <n v="1000"/>
    <n v="1000"/>
    <n v="1"/>
    <s v="Exclusive"/>
    <n v="1000"/>
    <n v="0"/>
    <n v="1000"/>
    <n v="180"/>
    <n v="1180"/>
    <n v="0.32"/>
    <n v="1180.32"/>
    <n v="1180.32"/>
    <n v="0"/>
    <n v="1180.32"/>
    <n v="0"/>
    <x v="0"/>
  </r>
  <r>
    <n v="90"/>
    <x v="89"/>
    <s v="Sharad Malhotra"/>
    <s v="Rajesh Kumar"/>
    <s v="Wire Communication System"/>
    <s v="Himachal Pradesh"/>
    <s v="Rental"/>
    <x v="0"/>
    <n v="1000"/>
    <n v="1359"/>
    <n v="2"/>
    <s v="Exclusive"/>
    <n v="2718"/>
    <n v="0"/>
    <n v="2718"/>
    <n v="489.24"/>
    <n v="3207.24"/>
    <n v="0.92"/>
    <n v="3208.16"/>
    <n v="3208.16"/>
    <n v="0"/>
    <n v="3208.16"/>
    <n v="0"/>
    <x v="0"/>
  </r>
  <r>
    <n v="91"/>
    <x v="90"/>
    <s v="Suhas A .Rangnekar"/>
    <s v="Anvit"/>
    <s v="Sai Electronics"/>
    <s v="Maharashtra"/>
    <s v="Rental"/>
    <x v="0"/>
    <n v="1000"/>
    <n v="1563"/>
    <n v="2"/>
    <s v="Exclusive"/>
    <n v="3126"/>
    <n v="0"/>
    <n v="3126"/>
    <n v="562.67999999999995"/>
    <n v="3688.68"/>
    <n v="-2.39"/>
    <n v="3686.29"/>
    <n v="3686.29"/>
    <n v="0"/>
    <n v="3686.29"/>
    <n v="0"/>
    <x v="0"/>
  </r>
  <r>
    <n v="92"/>
    <x v="91"/>
    <s v="Ashok Bhat"/>
    <s v="Ashok Bhat"/>
    <s v="Shree Ganesh Enterprises"/>
    <s v="Maharashtra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93"/>
    <x v="92"/>
    <s v="RAVI KUMAR G"/>
    <s v="RAVI KUMAR G"/>
    <s v="Ravi Cable &amp; Internet Providers"/>
    <s v="Karnataka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94"/>
    <x v="93"/>
    <s v="Siji P Chandran"/>
    <s v="siji P chandran"/>
    <s v="Planet Cablenet"/>
    <s v="Kerala"/>
    <s v="Rental"/>
    <x v="0"/>
    <n v="1000"/>
    <n v="1000"/>
    <n v="1"/>
    <s v="Exclusive"/>
    <n v="1000"/>
    <n v="0"/>
    <n v="1000"/>
    <n v="180"/>
    <n v="1180"/>
    <n v="0.1"/>
    <n v="1180.0999999999999"/>
    <n v="1180.0999999999999"/>
    <n v="0"/>
    <n v="1180.0999999999999"/>
    <n v="0"/>
    <x v="0"/>
  </r>
  <r>
    <n v="95"/>
    <x v="94"/>
    <s v="Yashwanth"/>
    <s v="Yashwanth"/>
    <s v="Swasthik Cable TV Pachanady"/>
    <s v="Karnataka"/>
    <s v="Rental"/>
    <x v="0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96"/>
    <x v="95"/>
    <s v="Kapil"/>
    <s v="Kapil"/>
    <s v="Matangeshwar Cable Network"/>
    <s v="Madhya Pradesh"/>
    <s v="Rental"/>
    <x v="0"/>
    <n v="500"/>
    <n v="500"/>
    <n v="2"/>
    <s v="Exclusive"/>
    <n v="1000"/>
    <n v="0"/>
    <n v="1000"/>
    <n v="180"/>
    <n v="1180"/>
    <n v="-5062.2"/>
    <n v="-3882.2"/>
    <n v="-3882.2"/>
    <n v="0"/>
    <n v="-3882.2"/>
    <n v="0"/>
    <x v="0"/>
  </r>
  <r>
    <n v="97"/>
    <x v="96"/>
    <s v="KRISHNAMURTHY S G"/>
    <s v="KRISHNAMURTHY S G"/>
    <s v="V2CABLE LINKS"/>
    <s v="Karnataka"/>
    <s v="Rental"/>
    <x v="0"/>
    <n v="1000"/>
    <n v="1869"/>
    <n v="2"/>
    <s v="Exclusive"/>
    <n v="3738"/>
    <n v="0"/>
    <n v="3738"/>
    <n v="672.84"/>
    <n v="4410.84"/>
    <n v="0.16"/>
    <n v="4411"/>
    <n v="4411"/>
    <n v="0"/>
    <n v="4411"/>
    <n v="0"/>
    <x v="0"/>
  </r>
  <r>
    <n v="98"/>
    <x v="97"/>
    <s v="Vijaypal Singh Pundir"/>
    <s v="Vijaypal Singh Pundir"/>
    <s v="Pundir Star Digital Network"/>
    <s v="Uttarakhand"/>
    <s v="Rental"/>
    <x v="0"/>
    <n v="1000"/>
    <n v="1399"/>
    <n v="2"/>
    <s v="Exclusive"/>
    <n v="2798"/>
    <n v="0"/>
    <n v="2798"/>
    <n v="503.64"/>
    <n v="3301.64"/>
    <n v="-0.08"/>
    <n v="3301.56"/>
    <n v="3301.56"/>
    <n v="0"/>
    <n v="3301.56"/>
    <n v="0"/>
    <x v="0"/>
  </r>
  <r>
    <n v="99"/>
    <x v="98"/>
    <s v="Kaniha Lal"/>
    <s v="Kaniha Lal"/>
    <s v="DOLORA CABLE NETWORK"/>
    <s v="Rajasthan"/>
    <s v="Rental"/>
    <x v="0"/>
    <n v="1000"/>
    <n v="1000"/>
    <n v="2"/>
    <s v="Exclusive"/>
    <n v="2000"/>
    <n v="0"/>
    <n v="2000"/>
    <n v="360"/>
    <n v="2360"/>
    <n v="-0.3"/>
    <n v="2359.6999999999998"/>
    <n v="2359.6999999999998"/>
    <n v="0"/>
    <n v="2359.6999999999998"/>
    <n v="0"/>
    <x v="0"/>
  </r>
  <r>
    <n v="100"/>
    <x v="99"/>
    <s v="Narayan Swamy "/>
    <s v="Narayan Swamy"/>
    <s v="Geethanjali Cable Network"/>
    <s v="Karnataka"/>
    <s v="Rental"/>
    <x v="0"/>
    <n v="1000"/>
    <n v="1000"/>
    <n v="2"/>
    <s v="Exclusive"/>
    <n v="2000"/>
    <n v="0"/>
    <n v="2000"/>
    <n v="360"/>
    <n v="2360"/>
    <n v="-0.1"/>
    <n v="2359.9"/>
    <n v="2359.9"/>
    <n v="0"/>
    <n v="2359.9"/>
    <n v="0"/>
    <x v="0"/>
  </r>
  <r>
    <n v="101"/>
    <x v="100"/>
    <s v="ROHIT NETAJI KASHID"/>
    <s v="Netaji Dadarao Kashid"/>
    <s v="Shree Manoranjan Cable Tv Network"/>
    <s v="Maharashtra"/>
    <s v="Rental"/>
    <x v="0"/>
    <n v="1000"/>
    <n v="1000"/>
    <n v="1"/>
    <s v="Exclusive"/>
    <n v="1000"/>
    <n v="0"/>
    <n v="1000"/>
    <n v="180"/>
    <n v="1180"/>
    <n v="-8260.15"/>
    <n v="-7080.15"/>
    <n v="-7080.15"/>
    <n v="0"/>
    <n v="-7080.15"/>
    <n v="0"/>
    <x v="0"/>
  </r>
  <r>
    <n v="102"/>
    <x v="101"/>
    <s v="Anil Vartak"/>
    <s v="Priya Gharat"/>
    <s v="Suvidha Star Vision"/>
    <s v="Maharashtra"/>
    <s v="Rental"/>
    <x v="0"/>
    <n v="1000"/>
    <n v="1384"/>
    <n v="2"/>
    <s v="Exclusive"/>
    <n v="2768"/>
    <n v="0"/>
    <n v="2768"/>
    <n v="498.24"/>
    <n v="3266.24"/>
    <n v="-10776.61"/>
    <n v="-7510.3700000000008"/>
    <n v="-7510.37"/>
    <n v="0"/>
    <n v="-7510.37"/>
    <n v="0"/>
    <x v="0"/>
  </r>
  <r>
    <n v="103"/>
    <x v="102"/>
    <s v="Vinesh Gunvantrai Desai"/>
    <s v="Shraddha Kandy"/>
    <s v="Shree Sai Satellite"/>
    <s v="Maharashtra"/>
    <s v="Rental"/>
    <x v="2"/>
    <n v="1000"/>
    <n v="1884"/>
    <n v="2"/>
    <s v="Exclusive"/>
    <n v="3768"/>
    <n v="0"/>
    <n v="3768"/>
    <n v="678.24"/>
    <n v="4446.24"/>
    <n v="-4131.8900000000003"/>
    <n v="314.34999999999945"/>
    <n v="314.35000000000002"/>
    <n v="-5.6843418860808015E-13"/>
    <n v="314.35000000000002"/>
    <n v="0"/>
    <x v="0"/>
  </r>
  <r>
    <n v="104"/>
    <x v="103"/>
    <s v="Janardan Ragunath Bhoir"/>
    <s v="9890018977"/>
    <s v="Shree Santoshi Cable Vision"/>
    <s v="Maharashtra"/>
    <s v="Rental"/>
    <x v="2"/>
    <n v="500"/>
    <n v="500"/>
    <n v="3"/>
    <s v="Exclusive"/>
    <n v="1500"/>
    <n v="0"/>
    <n v="1500"/>
    <n v="270"/>
    <n v="1770"/>
    <n v="-1760"/>
    <n v="10"/>
    <n v="10"/>
    <n v="0"/>
    <n v="10"/>
    <n v="0"/>
    <x v="0"/>
  </r>
  <r>
    <n v="105"/>
    <x v="104"/>
    <s v="VIDYA KRISHNARAO DESHMUKH"/>
    <s v="VIDYA KRISHNARAO DESHMUKH"/>
    <s v="TEJAS CABLE NETWORK"/>
    <s v="Maharashtra"/>
    <s v="Rental"/>
    <x v="0"/>
    <n v="800"/>
    <n v="800"/>
    <n v="2"/>
    <s v="Exclusive"/>
    <n v="1600"/>
    <n v="0"/>
    <n v="1600"/>
    <n v="288"/>
    <n v="1888"/>
    <n v="-2889.52"/>
    <n v="-1001.52"/>
    <n v="-1001.52"/>
    <n v="0"/>
    <n v="-1001.52"/>
    <n v="0"/>
    <x v="0"/>
  </r>
  <r>
    <n v="106"/>
    <x v="105"/>
    <s v="MOHD ABDULLAH FAHEEM"/>
    <s v="MOHD ABDULLAH FAHEEM"/>
    <s v="Vision Club"/>
    <s v="Telangana"/>
    <s v="Rental"/>
    <x v="2"/>
    <n v="1500"/>
    <n v="1500"/>
    <n v="1.5"/>
    <s v="Exclusive"/>
    <n v="2250"/>
    <n v="0"/>
    <n v="2250"/>
    <n v="405"/>
    <n v="2655"/>
    <n v="-2655"/>
    <n v="0"/>
    <n v="0"/>
    <n v="0"/>
    <n v="0"/>
    <n v="0"/>
    <x v="0"/>
  </r>
  <r>
    <n v="107"/>
    <x v="106"/>
    <s v="Gaurav Kumar"/>
    <s v="Amit"/>
    <s v="Kumar Cable Network"/>
    <s v="Delhi"/>
    <s v="Rental"/>
    <x v="2"/>
    <n v="650"/>
    <n v="650"/>
    <n v="2.5"/>
    <s v="Exclusive"/>
    <n v="1625"/>
    <n v="0"/>
    <n v="1625"/>
    <n v="292.5"/>
    <n v="1917.5"/>
    <n v="-1150.44"/>
    <n v="767.06"/>
    <n v="767.06"/>
    <n v="0"/>
    <n v="767.06"/>
    <n v="0"/>
    <x v="0"/>
  </r>
  <r>
    <n v="108"/>
    <x v="107"/>
    <s v="Harish Raghuwanshi"/>
    <s v="Harish Raghuwanshi"/>
    <s v="Raghuwansh Techcon"/>
    <s v="Madhya Pradesh"/>
    <s v="Rental"/>
    <x v="2"/>
    <n v="1000"/>
    <n v="1160"/>
    <n v="2"/>
    <s v="Exclusive"/>
    <n v="2320"/>
    <n v="0"/>
    <n v="2320"/>
    <n v="417.59999999999997"/>
    <n v="2737.6"/>
    <n v="-2329.34"/>
    <n v="408.25999999999976"/>
    <n v="408.26"/>
    <n v="0"/>
    <n v="408.26"/>
    <n v="0"/>
    <x v="0"/>
  </r>
  <r>
    <n v="109"/>
    <x v="108"/>
    <s v="Namdeo Ugale"/>
    <s v="Namdeo Ugale"/>
    <s v="Vinayak Electronics"/>
    <s v="Madhya Pradesh"/>
    <s v="Rental"/>
    <x v="2"/>
    <n v="500"/>
    <n v="500"/>
    <n v="2"/>
    <s v="Exclusive"/>
    <n v="1000"/>
    <n v="0"/>
    <n v="1000"/>
    <n v="180"/>
    <n v="1180"/>
    <n v="-5900"/>
    <n v="-4720"/>
    <n v="-4720"/>
    <n v="0"/>
    <n v="-4720"/>
    <n v="0"/>
    <x v="0"/>
  </r>
  <r>
    <n v="110"/>
    <x v="109"/>
    <s v="ASHOK BAKLIWAL"/>
    <s v="ASHOK BAKLIWAL"/>
    <s v="BAKLIWAL CABLE TV NETWORK"/>
    <s v="Rajasthan"/>
    <s v="Rental"/>
    <x v="2"/>
    <n v="500"/>
    <n v="764"/>
    <n v="2"/>
    <s v="Exclusive"/>
    <n v="1528"/>
    <n v="0"/>
    <n v="1528"/>
    <n v="275.03999999999996"/>
    <n v="1803.04"/>
    <n v="-5046.3900000000003"/>
    <n v="-3243.3500000000004"/>
    <n v="-3243.35"/>
    <n v="0"/>
    <n v="-3243.35"/>
    <n v="0"/>
    <x v="0"/>
  </r>
  <r>
    <n v="111"/>
    <x v="110"/>
    <s v="Bhagwan Sukhadev Donde"/>
    <s v="Bhagwan Sukhadev Donde"/>
    <s v="Om Sai Cable Network"/>
    <s v="Maharashtra"/>
    <s v="Rental"/>
    <x v="2"/>
    <n v="800"/>
    <n v="800"/>
    <n v="2.5"/>
    <s v="Exclusive"/>
    <n v="2250"/>
    <n v="0"/>
    <n v="2250"/>
    <n v="405"/>
    <n v="2655"/>
    <n v="-1947.72"/>
    <n v="707.28"/>
    <n v="707.28"/>
    <n v="0"/>
    <n v="707.28"/>
    <n v="0"/>
    <x v="0"/>
  </r>
  <r>
    <n v="112"/>
    <x v="111"/>
    <s v="Naresh Patel"/>
    <s v="Naresh Patel"/>
    <s v="Gujrat Wifi"/>
    <s v="Gujarat"/>
    <s v="Rental"/>
    <x v="2"/>
    <n v="500"/>
    <n v="500"/>
    <n v="1.5"/>
    <s v="Exclusive"/>
    <n v="750"/>
    <n v="0"/>
    <n v="750"/>
    <n v="135"/>
    <n v="885"/>
    <n v="-6275"/>
    <n v="-5390"/>
    <n v="-5390"/>
    <n v="0"/>
    <n v="-5390"/>
    <n v="0"/>
    <x v="0"/>
  </r>
  <r>
    <n v="113"/>
    <x v="112"/>
    <s v="Narendra"/>
    <s v="Narendra"/>
    <s v="Hitesh Cable Network"/>
    <s v="Maharashtra"/>
    <s v="Rental"/>
    <x v="2"/>
    <n v="500"/>
    <n v="522"/>
    <n v="1.5"/>
    <s v="Exclusive"/>
    <n v="783"/>
    <n v="0"/>
    <n v="783"/>
    <n v="140.94"/>
    <n v="923.94"/>
    <n v="-7431.31"/>
    <n v="-6507.3700000000008"/>
    <n v="-6507.37"/>
    <n v="0"/>
    <n v="-6507.37"/>
    <n v="0"/>
    <x v="0"/>
  </r>
  <r>
    <n v="114"/>
    <x v="113"/>
    <s v="Avinash"/>
    <s v="Avinash"/>
    <s v="Yashika Cable Network"/>
    <s v="Maharashtra"/>
    <s v="Rental"/>
    <x v="2"/>
    <n v="500"/>
    <n v="1061"/>
    <n v="2"/>
    <s v="Exclusive"/>
    <n v="2122"/>
    <n v="0"/>
    <n v="2122"/>
    <n v="381.96"/>
    <n v="2503.96"/>
    <n v="-4906.4399999999996"/>
    <n v="-2402.4799999999996"/>
    <n v="-2402.48"/>
    <n v="0"/>
    <n v="-2402.48"/>
    <n v="0"/>
    <x v="0"/>
  </r>
  <r>
    <n v="115"/>
    <x v="114"/>
    <s v="Patel Sunil Kumar Bharatbhai"/>
    <s v="Patel Sunil Kumar Bharatbhai"/>
    <s v="Drashti Vision"/>
    <s v="Gujarat"/>
    <s v="Rental"/>
    <x v="2"/>
    <n v="500"/>
    <n v="500"/>
    <n v="1.5"/>
    <s v="Exclusive"/>
    <n v="750"/>
    <n v="0"/>
    <n v="750"/>
    <n v="135"/>
    <n v="885"/>
    <n v="-8045"/>
    <n v="-7160"/>
    <n v="-7160"/>
    <n v="0"/>
    <n v="-7160"/>
    <n v="0"/>
    <x v="0"/>
  </r>
  <r>
    <n v="116"/>
    <x v="115"/>
    <s v="Sandip"/>
    <s v="Sandip"/>
    <s v="Shree Cable Network"/>
    <s v="Maharashtra"/>
    <s v="Rental"/>
    <x v="2"/>
    <n v="500"/>
    <n v="500"/>
    <n v="2.5"/>
    <s v="Exclusive"/>
    <n v="1250"/>
    <n v="0"/>
    <n v="1250"/>
    <n v="225"/>
    <n v="1475"/>
    <n v="-6431"/>
    <n v="-4956"/>
    <n v="-4956"/>
    <n v="0"/>
    <n v="-4956"/>
    <n v="0"/>
    <x v="0"/>
  </r>
  <r>
    <n v="117"/>
    <x v="116"/>
    <s v="Lakshmi Kanta Bera"/>
    <s v="Chabbi"/>
    <s v="BRIGHTER &amp; BRIGHTER TECHNOLOGY"/>
    <s v="West Bengal"/>
    <s v="Rental"/>
    <x v="0"/>
    <n v="1000"/>
    <n v="2247"/>
    <n v="2"/>
    <s v="Exclusive"/>
    <n v="4494"/>
    <n v="0"/>
    <n v="4494"/>
    <n v="808.92"/>
    <n v="5302.92"/>
    <n v="-0.46"/>
    <n v="5302.46"/>
    <n v="5302.46"/>
    <n v="0"/>
    <n v="5302.46"/>
    <n v="0"/>
    <x v="0"/>
  </r>
  <r>
    <n v="118"/>
    <x v="117"/>
    <s v="Ananta Vanarase"/>
    <s v="Ananta Vanarase"/>
    <s v="Swastik Cable Network"/>
    <s v="Maharashtra"/>
    <s v="Rental"/>
    <x v="2"/>
    <n v="1000"/>
    <n v="3090"/>
    <n v="2"/>
    <s v="Exclusive"/>
    <n v="6180"/>
    <n v="0"/>
    <n v="6180"/>
    <n v="1112.3999999999999"/>
    <n v="7292.4"/>
    <n v="-948.14"/>
    <n v="6344.2599999999993"/>
    <n v="6344.26"/>
    <n v="0"/>
    <n v="6344.26"/>
    <n v="0"/>
    <x v="0"/>
  </r>
  <r>
    <n v="119"/>
    <x v="118"/>
    <s v="BHARTI"/>
    <s v="BHARTI"/>
    <s v="BHARTI CABLE NETWORK"/>
    <s v="Delhi"/>
    <s v="Rental"/>
    <x v="2"/>
    <n v="1000"/>
    <n v="1000"/>
    <n v="2.5"/>
    <s v="Exclusive"/>
    <n v="2750"/>
    <n v="0"/>
    <n v="2750"/>
    <n v="495"/>
    <n v="3245"/>
    <n v="-0.22"/>
    <n v="3244.78"/>
    <n v="3244.78"/>
    <n v="0"/>
    <n v="3244.78"/>
    <n v="0"/>
    <x v="0"/>
  </r>
  <r>
    <n v="120"/>
    <x v="119"/>
    <s v="Ratilal Gupta"/>
    <s v="Ratilal Gupta"/>
    <s v="Magic Vision Cable Network"/>
    <s v="Maharashtra"/>
    <s v="Rental"/>
    <x v="2"/>
    <n v="1000"/>
    <n v="1000"/>
    <n v="2.5"/>
    <s v="Exclusive"/>
    <n v="2500"/>
    <n v="0"/>
    <n v="2500"/>
    <n v="450"/>
    <n v="2950"/>
    <n v="-0.08"/>
    <n v="2949.92"/>
    <n v="2949.92"/>
    <n v="0"/>
    <n v="2949.92"/>
    <n v="0"/>
    <x v="0"/>
  </r>
  <r>
    <n v="121"/>
    <x v="120"/>
    <s v="Kwality Communication"/>
    <s v="Amit Lohiya"/>
    <s v="Kwality Communication"/>
    <s v="Madhya Pradesh"/>
    <s v="Rental"/>
    <x v="2"/>
    <n v="1000"/>
    <n v="2086"/>
    <n v="2"/>
    <s v="Exclusive"/>
    <n v="4172"/>
    <n v="0"/>
    <n v="4172"/>
    <n v="750.95999999999992"/>
    <n v="4922.96"/>
    <n v="-0.19"/>
    <n v="4922.7700000000004"/>
    <n v="4922.7700000000004"/>
    <n v="0"/>
    <n v="4922.7700000000004"/>
    <n v="0"/>
    <x v="0"/>
  </r>
  <r>
    <n v="122"/>
    <x v="121"/>
    <s v="Sanjay Palav"/>
    <s v="Santosh "/>
    <s v="VCPL Network Pvt Ltd"/>
    <s v="Maharashtra"/>
    <s v="Rental"/>
    <x v="2"/>
    <n v="20000"/>
    <n v="20000"/>
    <n v="1"/>
    <s v="Exclusive"/>
    <n v="20000"/>
    <n v="0"/>
    <n v="20000"/>
    <n v="3600"/>
    <n v="23600"/>
    <n v="0.01"/>
    <n v="23600.01"/>
    <n v="23600.01"/>
    <n v="0"/>
    <n v="23600.01"/>
    <n v="0"/>
    <x v="0"/>
  </r>
  <r>
    <n v="123"/>
    <x v="122"/>
    <s v="Gururaj S Mankar"/>
    <s v="Gururaj S Mankar"/>
    <s v="R K Cable Network"/>
    <s v="Karnataka"/>
    <s v="Rental"/>
    <x v="2"/>
    <n v="650"/>
    <n v="650"/>
    <n v="3"/>
    <s v="Exclusive"/>
    <n v="1950"/>
    <n v="0"/>
    <n v="1950"/>
    <n v="351"/>
    <n v="2301"/>
    <n v="18.690000000000001"/>
    <n v="2319.69"/>
    <n v="2319.69"/>
    <n v="0"/>
    <n v="2319.69"/>
    <n v="0"/>
    <x v="0"/>
  </r>
  <r>
    <n v="124"/>
    <x v="123"/>
    <s v="Ashok Sehdev"/>
    <s v="Ashok Sehdev"/>
    <s v="WORLD VIDEO"/>
    <s v="Delhi"/>
    <s v="Rental"/>
    <x v="2"/>
    <n v="1000"/>
    <n v="1000"/>
    <n v="2"/>
    <s v="Exclusive"/>
    <n v="2000"/>
    <n v="0"/>
    <n v="2000"/>
    <n v="360"/>
    <n v="2360"/>
    <n v="0"/>
    <n v="2360"/>
    <n v="2360"/>
    <n v="0"/>
    <n v="2360"/>
    <n v="0"/>
    <x v="0"/>
  </r>
  <r>
    <n v="125"/>
    <x v="124"/>
    <s v="Ikab Singh Chhabra"/>
    <s v="Ikab Singh Chhabra"/>
    <s v="Mrs. Iqabl Singh Chhabra"/>
    <s v="Madhya Pradesh"/>
    <s v="Rental"/>
    <x v="2"/>
    <n v="2000"/>
    <n v="2273"/>
    <n v="2.5"/>
    <s v="Exclusive"/>
    <n v="5682.5"/>
    <n v="0"/>
    <n v="5682.5"/>
    <n v="1022.8499999999999"/>
    <n v="6705.35"/>
    <n v="-0.38"/>
    <n v="6704.97"/>
    <n v="7374.62"/>
    <n v="-669.64999999999964"/>
    <n v="6704.97"/>
    <n v="0"/>
    <x v="0"/>
  </r>
  <r>
    <n v="126"/>
    <x v="125"/>
    <s v="Mukesh Chaudhary"/>
    <s v="Mukesh Chaudhary"/>
    <s v="Win Cable Network Pvt Ltd"/>
    <s v="Haryana"/>
    <s v="Rental"/>
    <x v="2"/>
    <n v="10000"/>
    <n v="10000"/>
    <n v="1"/>
    <s v="Exclusive"/>
    <n v="10000"/>
    <n v="0"/>
    <n v="10000"/>
    <n v="1800"/>
    <n v="11800"/>
    <n v="-10.54"/>
    <n v="11789.46"/>
    <n v="11789.46"/>
    <n v="0"/>
    <n v="11789.46"/>
    <n v="0"/>
    <x v="0"/>
  </r>
  <r>
    <n v="127"/>
    <x v="126"/>
    <s v="Hemant j. chiplunkar"/>
    <s v="Hemant j. chiplunkar"/>
    <s v="SAI CHANNEL"/>
    <s v="Maharashtra"/>
    <s v="Rental"/>
    <x v="2"/>
    <n v="1000"/>
    <n v="1265"/>
    <n v="2"/>
    <s v="Exclusive"/>
    <n v="2530"/>
    <n v="0"/>
    <n v="2530"/>
    <n v="455.4"/>
    <n v="2985.4"/>
    <n v="0"/>
    <n v="2985.4"/>
    <n v="2985.4"/>
    <n v="0"/>
    <n v="2985.4"/>
    <n v="0"/>
    <x v="0"/>
  </r>
  <r>
    <n v="128"/>
    <x v="127"/>
    <s v="S Srinivasan"/>
    <s v="S Srinivasan"/>
    <s v="Abbys Telelinks"/>
    <s v="Karnataka"/>
    <s v="Rental"/>
    <x v="2"/>
    <n v="750"/>
    <n v="750"/>
    <n v="3"/>
    <s v="Exclusive"/>
    <n v="2250"/>
    <n v="0"/>
    <n v="2250"/>
    <n v="405"/>
    <n v="2655"/>
    <n v="-13275"/>
    <n v="-10620"/>
    <n v="-10620"/>
    <n v="0"/>
    <n v="-10620"/>
    <n v="0"/>
    <x v="0"/>
  </r>
  <r>
    <n v="129"/>
    <x v="128"/>
    <s v="Navneet Sethi"/>
    <s v="Gourav Sachdeva"/>
    <s v="TRIPLE PLAY TELECOM PRIVATE LIMITED"/>
    <s v="Haryana"/>
    <s v="Rental"/>
    <x v="0"/>
    <n v="5000"/>
    <n v="5000"/>
    <n v="1.5"/>
    <s v="Exclusive"/>
    <n v="7500"/>
    <n v="0"/>
    <n v="7500"/>
    <n v="1350"/>
    <n v="8850"/>
    <n v="-399.73"/>
    <n v="8450.27"/>
    <n v="8450.27"/>
    <n v="0"/>
    <n v="8450.27"/>
    <n v="0"/>
    <x v="0"/>
  </r>
  <r>
    <n v="130"/>
    <x v="129"/>
    <s v="Ganesh Dubey"/>
    <s v="Ganesh Dubey"/>
    <s v="VM DIGITAL NETWORKS PRIVATE LIMITED"/>
    <s v="Uttar Pradesh"/>
    <s v="Rental"/>
    <x v="2"/>
    <n v="1000"/>
    <n v="1817"/>
    <n v="2"/>
    <s v="Exclusive"/>
    <n v="3884"/>
    <n v="0"/>
    <n v="3884"/>
    <n v="699.12"/>
    <n v="4583.12"/>
    <n v="482.33"/>
    <n v="5065.45"/>
    <n v="5065.45"/>
    <n v="0"/>
    <n v="5065.45"/>
    <n v="0"/>
    <x v="0"/>
  </r>
  <r>
    <n v="131"/>
    <x v="130"/>
    <s v="Pradeep Dehankar"/>
    <s v="Shwetha"/>
    <s v="SARGAM NET"/>
    <s v="Maharashtra"/>
    <s v="Rental"/>
    <x v="2"/>
    <n v="1000"/>
    <n v="3757"/>
    <n v="2"/>
    <s v="Exclusive"/>
    <n v="7514"/>
    <n v="0"/>
    <n v="7514"/>
    <n v="1352.52"/>
    <n v="8866.52"/>
    <n v="0.77"/>
    <n v="8867.2900000000009"/>
    <n v="8867.2900000000009"/>
    <n v="0"/>
    <n v="8867.2900000000009"/>
    <n v="0"/>
    <x v="0"/>
  </r>
  <r>
    <n v="132"/>
    <x v="131"/>
    <s v="Nitin gopal Jadhav"/>
    <s v="Nitin gopal Jadhav"/>
    <s v="Jadhav Cable Network"/>
    <s v="Maharashtra"/>
    <s v="Rental"/>
    <x v="2"/>
    <n v="1000"/>
    <n v="1000"/>
    <n v="2"/>
    <s v="Exclusive"/>
    <n v="2000"/>
    <n v="0"/>
    <n v="2000"/>
    <n v="360"/>
    <n v="2360"/>
    <n v="-8208.9599999999991"/>
    <n v="-5848.9599999999991"/>
    <n v="-5848.96"/>
    <n v="0"/>
    <n v="-5848.96"/>
    <n v="0"/>
    <x v="0"/>
  </r>
  <r>
    <n v="133"/>
    <x v="132"/>
    <s v="Om Raj Purohit"/>
    <s v="Om Raj Purohit"/>
    <s v="Saurabh cable"/>
    <s v="Rajasthan"/>
    <s v="Rental"/>
    <x v="2"/>
    <n v="1000"/>
    <n v="2524"/>
    <n v="2"/>
    <s v="Exclusive"/>
    <n v="5048"/>
    <n v="0"/>
    <n v="5048"/>
    <n v="908.64"/>
    <n v="5956.64"/>
    <n v="-0.12"/>
    <n v="5956.52"/>
    <n v="5956.52"/>
    <n v="0"/>
    <n v="5956.52"/>
    <n v="0"/>
    <x v="0"/>
  </r>
  <r>
    <n v="134"/>
    <x v="133"/>
    <s v="Amardeep"/>
    <s v="Chirag"/>
    <s v="Signet Digital Private Limited"/>
    <s v="Maharashtra"/>
    <s v="Rental"/>
    <x v="2"/>
    <n v="1000"/>
    <n v="1000"/>
    <n v="2"/>
    <s v="Exclusive"/>
    <n v="2000"/>
    <n v="0"/>
    <n v="2000"/>
    <n v="360"/>
    <n v="2360"/>
    <n v="-2950.42"/>
    <n v="-590.42000000000007"/>
    <n v="-590.41999999999996"/>
    <n v="0"/>
    <n v="-590.41999999999996"/>
    <n v="0"/>
    <x v="0"/>
  </r>
  <r>
    <n v="135"/>
    <x v="134"/>
    <s v="SAGAR GANESHBHAI SAWANT"/>
    <s v="SAGAR GANESHBHAI SAWANT"/>
    <s v="SAI DRASHTI CABLE VISION"/>
    <s v="Gujarat"/>
    <s v="Rental"/>
    <x v="2"/>
    <n v="1000"/>
    <n v="3541"/>
    <n v="2"/>
    <s v="Exclusive"/>
    <n v="7082"/>
    <n v="0"/>
    <n v="7082"/>
    <n v="1274.76"/>
    <n v="8356.76"/>
    <n v="-13666.26"/>
    <n v="-5309.5"/>
    <n v="-5309.5"/>
    <n v="0"/>
    <n v="-5309.5"/>
    <n v="0"/>
    <x v="0"/>
  </r>
  <r>
    <n v="136"/>
    <x v="135"/>
    <s v="Ajay Nemade"/>
    <s v="Ajay Nemade"/>
    <s v="vision cable network"/>
    <s v="Maharashtra"/>
    <s v="Rental"/>
    <x v="0"/>
    <n v="1000"/>
    <n v="1000"/>
    <n v="1.5"/>
    <s v="Exclusive"/>
    <n v="1500"/>
    <n v="0"/>
    <n v="1500"/>
    <n v="270"/>
    <n v="1770"/>
    <n v="-9.67"/>
    <n v="1760.33"/>
    <n v="1760.33"/>
    <n v="0"/>
    <n v="1760.33"/>
    <n v="0"/>
    <x v="0"/>
  </r>
  <r>
    <n v="137"/>
    <x v="136"/>
    <s v="Saikh Abrar Ahmad"/>
    <s v="Saikh Abrar Ahmad"/>
    <s v="Abrar Cable Network"/>
    <s v="Madhya Pradesh"/>
    <s v="Rental"/>
    <x v="3"/>
    <n v="500"/>
    <n v="500"/>
    <n v="5"/>
    <s v="Exclusive"/>
    <n v="2500"/>
    <n v="0"/>
    <n v="2500"/>
    <n v="450"/>
    <n v="2950"/>
    <n v="-13872.58"/>
    <n v="-10922.58"/>
    <n v="-10922.58"/>
    <n v="0"/>
    <n v="-10922.58"/>
    <n v="0"/>
    <x v="0"/>
  </r>
  <r>
    <n v="138"/>
    <x v="137"/>
    <s v=" CHANDRASHEKHAR DATTATRAY NAIK"/>
    <s v=" CHANDRASHEKHAR DATTATRAY NAIK"/>
    <s v="Signet Broadband Pvt Ltd"/>
    <s v="Maharashtra"/>
    <s v="Rental"/>
    <x v="3"/>
    <n v="500"/>
    <n v="500"/>
    <n v="5"/>
    <s v="Exclusive"/>
    <n v="2500"/>
    <n v="0"/>
    <n v="2500"/>
    <n v="450"/>
    <n v="2950"/>
    <n v="2950"/>
    <n v="5900"/>
    <n v="5900"/>
    <n v="0"/>
    <n v="5900"/>
    <n v="0"/>
    <x v="0"/>
  </r>
  <r>
    <n v="139"/>
    <x v="138"/>
    <s v="Naveen Kumar"/>
    <s v="Naveen Kumar"/>
    <s v="MASS COMPUTERS"/>
    <s v="Haryana"/>
    <s v="Rental"/>
    <x v="3"/>
    <n v="500"/>
    <n v="500"/>
    <n v="4"/>
    <s v="Exclusive"/>
    <n v="2000"/>
    <n v="0"/>
    <n v="2000"/>
    <n v="360"/>
    <n v="2360"/>
    <n v="-7080"/>
    <n v="-4720"/>
    <n v="-4720"/>
    <n v="0"/>
    <n v="-4720"/>
    <n v="0"/>
    <x v="0"/>
  </r>
  <r>
    <n v="140"/>
    <x v="139"/>
    <s v="Kunal Bhatia"/>
    <s v="Kunal Bhatia"/>
    <s v="Speednet Solutions"/>
    <s v="Uttarakhand"/>
    <s v="Rental"/>
    <x v="3"/>
    <n v="250"/>
    <n v="250"/>
    <n v="6"/>
    <s v="Exclusive"/>
    <n v="1500"/>
    <n v="0"/>
    <n v="1500"/>
    <n v="270"/>
    <n v="1770"/>
    <n v="-7080"/>
    <n v="-5310"/>
    <n v="-5310"/>
    <n v="0"/>
    <n v="-5310"/>
    <n v="0"/>
    <x v="0"/>
  </r>
  <r>
    <n v="141"/>
    <x v="140"/>
    <s v="Padam singh rajput"/>
    <s v="Padam singh rajput"/>
    <s v="Enhance multi trade pvt ltd"/>
    <s v="Madhya Pradesh"/>
    <s v="Rental"/>
    <x v="0"/>
    <n v="15000"/>
    <n v="15000"/>
    <n v="0.85"/>
    <s v="Exclusive"/>
    <n v="12750"/>
    <n v="0"/>
    <n v="12750"/>
    <n v="2295"/>
    <n v="15045"/>
    <n v="-274.17"/>
    <n v="14770.83"/>
    <n v="14770.83"/>
    <n v="0"/>
    <n v="14770.83"/>
    <n v="0"/>
    <x v="0"/>
  </r>
  <r>
    <m/>
    <x v="141"/>
    <m/>
    <m/>
    <m/>
    <m/>
    <m/>
    <x v="4"/>
    <m/>
    <m/>
    <m/>
    <m/>
    <m/>
    <m/>
    <m/>
    <m/>
    <m/>
    <m/>
    <m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1"/>
    <x v="0"/>
    <s v="Mahesh Vasant Joshi"/>
    <s v="Mahesh Vasant Joshi"/>
    <s v="Shri Laxmi Narayan Cable Network"/>
    <s v="Maharashtra"/>
    <s v="Rental"/>
    <x v="0"/>
    <n v="10000"/>
    <m/>
    <n v="1"/>
    <s v="Exclusive"/>
    <n v="0"/>
    <n v="0"/>
    <n v="0"/>
    <n v="0"/>
    <n v="0"/>
    <n v="0.04"/>
    <n v="0.04"/>
    <m/>
    <n v="0.04"/>
    <m/>
    <n v="0.04"/>
    <x v="0"/>
  </r>
  <r>
    <n v="2"/>
    <x v="1"/>
    <s v="Sunetra Mahesh Joshi "/>
    <s v="Mahesh Vasan"/>
    <s v="Laxmi Keshav Cable Network"/>
    <s v="Maharashtra"/>
    <s v="Rental"/>
    <x v="0"/>
    <n v="10000"/>
    <m/>
    <n v="1"/>
    <s v="Exclusive"/>
    <n v="0"/>
    <n v="0"/>
    <n v="0"/>
    <n v="0"/>
    <n v="0"/>
    <n v="0"/>
    <n v="0"/>
    <m/>
    <n v="0"/>
    <m/>
    <n v="0"/>
    <x v="0"/>
  </r>
  <r>
    <n v="3"/>
    <x v="2"/>
    <s v="Mukta Dey"/>
    <s v="KARTIK DEY"/>
    <s v="JCC NETWORK"/>
    <s v="Assam"/>
    <s v="Rental"/>
    <x v="0"/>
    <n v="10000"/>
    <m/>
    <n v="1"/>
    <s v="Exclusive"/>
    <n v="0"/>
    <n v="0"/>
    <n v="0"/>
    <n v="0"/>
    <n v="0"/>
    <n v="0"/>
    <n v="0"/>
    <m/>
    <n v="0"/>
    <m/>
    <n v="0"/>
    <x v="0"/>
  </r>
  <r>
    <n v="4"/>
    <x v="3"/>
    <s v="RAJENDRA MURLIDHAR MULIK"/>
    <s v="RAJENDRA MURLIDHAR MULIK"/>
    <s v="SHREE DIGITAL CABLE SYSTEM"/>
    <s v="Maharashtra"/>
    <s v="Rental"/>
    <x v="0"/>
    <n v="10000"/>
    <m/>
    <n v="1"/>
    <s v="Exclusive"/>
    <n v="0"/>
    <n v="0"/>
    <n v="0"/>
    <n v="0"/>
    <n v="0"/>
    <n v="0"/>
    <n v="0"/>
    <m/>
    <n v="0"/>
    <m/>
    <n v="0"/>
    <x v="0"/>
  </r>
  <r>
    <n v="5"/>
    <x v="4"/>
    <s v="Harish Chandra Mishra"/>
    <s v="Harish Chandra Mishra"/>
    <s v="Shri Badri Kedar Digital cable Network"/>
    <s v="Uttarakhand"/>
    <s v="Rental"/>
    <x v="0"/>
    <n v="10000"/>
    <m/>
    <n v="1"/>
    <s v="Exclusive"/>
    <n v="0"/>
    <n v="0"/>
    <n v="0"/>
    <n v="0"/>
    <n v="0"/>
    <n v="-0.72"/>
    <n v="-0.72"/>
    <m/>
    <n v="-0.72"/>
    <m/>
    <n v="-0.72"/>
    <x v="0"/>
  </r>
  <r>
    <n v="6"/>
    <x v="5"/>
    <s v="Pawan Kumar"/>
    <s v="Rajkumar"/>
    <s v="SHRI SHYAM BABA CABLE NETWORK"/>
    <s v="Haryana"/>
    <s v="Rental"/>
    <x v="0"/>
    <n v="10000"/>
    <m/>
    <n v="1"/>
    <s v="Exclusive"/>
    <n v="0"/>
    <n v="0"/>
    <n v="0"/>
    <n v="0"/>
    <n v="0"/>
    <n v="0.46"/>
    <n v="0.46"/>
    <m/>
    <n v="0.46"/>
    <m/>
    <n v="0.46"/>
    <x v="0"/>
  </r>
  <r>
    <n v="7"/>
    <x v="6"/>
    <s v="MANOSHI MANNA"/>
    <s v="Suman Sey"/>
    <s v="KERALA COMMUNICATORS CABLE LIMITED"/>
    <s v="Kerala"/>
    <s v="Rental"/>
    <x v="0"/>
    <n v="10000"/>
    <m/>
    <n v="1"/>
    <s v="Exclusive"/>
    <n v="0"/>
    <n v="0"/>
    <n v="0"/>
    <n v="0"/>
    <n v="0"/>
    <n v="1.1000000000000001"/>
    <n v="1.1000000000000001"/>
    <m/>
    <n v="1.1000000000000001"/>
    <m/>
    <n v="1.1000000000000001"/>
    <x v="0"/>
  </r>
  <r>
    <n v="8"/>
    <x v="7"/>
    <s v="Umesh Chand Bagrecha"/>
    <s v="Umesh Chand Bagrecha"/>
    <s v="Padmesh Citi Cable"/>
    <s v="Madhya Pradesh"/>
    <s v="Rental"/>
    <x v="0"/>
    <n v="10000"/>
    <m/>
    <n v="1"/>
    <s v="Exclusive"/>
    <n v="0"/>
    <n v="0"/>
    <n v="0"/>
    <n v="0"/>
    <n v="0"/>
    <n v="0.24"/>
    <n v="0.24"/>
    <m/>
    <n v="0.24"/>
    <m/>
    <n v="0.24"/>
    <x v="0"/>
  </r>
  <r>
    <n v="9"/>
    <x v="8"/>
    <s v="Jayesh Pandya"/>
    <s v="Jayesh Pandya"/>
    <s v="SITI SAISTAR DIGITAL MEDIA PVT LTD"/>
    <s v="Gujarat"/>
    <s v="Rental"/>
    <x v="0"/>
    <n v="20000"/>
    <m/>
    <n v="1.5"/>
    <s v="Exclusive"/>
    <n v="0"/>
    <n v="0"/>
    <n v="0"/>
    <n v="0"/>
    <n v="0"/>
    <n v="0"/>
    <n v="0"/>
    <m/>
    <n v="0"/>
    <m/>
    <n v="0"/>
    <x v="0"/>
  </r>
  <r>
    <n v="10"/>
    <x v="9"/>
    <s v="MOHAMMED HANIF SHAIKH"/>
    <s v="MOHAMMED HANIF SHAIKH"/>
    <s v="DAS BROADBAND DIGITAL COMMUNICATION PVT. LTD."/>
    <s v="Madhya Pradesh"/>
    <s v="Rental"/>
    <x v="0"/>
    <n v="10000"/>
    <m/>
    <n v="1"/>
    <s v="Exclusive"/>
    <n v="0"/>
    <n v="0"/>
    <n v="0"/>
    <n v="0"/>
    <n v="0"/>
    <n v="9.33"/>
    <n v="9.33"/>
    <m/>
    <n v="9.33"/>
    <m/>
    <n v="9.33"/>
    <x v="0"/>
  </r>
  <r>
    <n v="11"/>
    <x v="10"/>
    <s v="Ravi Gupta"/>
    <s v="Ravi Gupta"/>
    <s v="DDC CATV NETWORK PVT LTD"/>
    <s v="Delhi"/>
    <s v="Rental"/>
    <x v="0"/>
    <n v="10000"/>
    <m/>
    <n v="1"/>
    <s v="Exclusive"/>
    <n v="0"/>
    <n v="0"/>
    <n v="0"/>
    <n v="0"/>
    <n v="0"/>
    <n v="112.68"/>
    <n v="112.68"/>
    <m/>
    <n v="112.68"/>
    <m/>
    <n v="112.68"/>
    <x v="0"/>
  </r>
  <r>
    <n v="12"/>
    <x v="11"/>
    <s v="Sukhdev Singh Ghuman"/>
    <s v="Sanjay Sood"/>
    <s v="Digiana Projects Private Limited"/>
    <s v="Madhya Pradesh"/>
    <s v="Rental"/>
    <x v="0"/>
    <n v="400000"/>
    <m/>
    <n v="0.65"/>
    <s v="Exclusive"/>
    <n v="0"/>
    <n v="0"/>
    <n v="0"/>
    <n v="0"/>
    <n v="0"/>
    <n v="-0.15"/>
    <n v="-0.15"/>
    <m/>
    <n v="-0.15"/>
    <m/>
    <n v="-0.15"/>
    <x v="0"/>
  </r>
  <r>
    <n v="13"/>
    <x v="12"/>
    <s v="Chandrashekhar Naik"/>
    <s v="Amardeep ajgaokar"/>
    <s v="Signet digital private limited"/>
    <s v="Maharashtra"/>
    <s v="Rental"/>
    <x v="0"/>
    <n v="50000"/>
    <m/>
    <n v="1.25"/>
    <s v="Exclusive"/>
    <n v="0"/>
    <n v="0"/>
    <n v="0"/>
    <n v="0"/>
    <n v="0"/>
    <n v="-4068.65"/>
    <n v="-4068.65"/>
    <m/>
    <n v="-4068.65"/>
    <m/>
    <n v="-4068.65"/>
    <x v="0"/>
  </r>
  <r>
    <n v="14"/>
    <x v="13"/>
    <s v="Manjunath"/>
    <s v="Manjunath"/>
    <s v="U Digital network Pvt Ltd"/>
    <s v="Karnataka"/>
    <s v="Rental"/>
    <x v="0"/>
    <n v="200000"/>
    <m/>
    <n v="0.5"/>
    <s v="Exclusive"/>
    <n v="0"/>
    <n v="0"/>
    <n v="0"/>
    <n v="0"/>
    <n v="0"/>
    <n v="212547.23"/>
    <n v="212547.23"/>
    <m/>
    <n v="212547.23"/>
    <m/>
    <n v="212547.23"/>
    <x v="0"/>
  </r>
  <r>
    <n v="15"/>
    <x v="14"/>
    <s v="D.K.SETHIA"/>
    <s v="D.K.SETHIA"/>
    <s v="INDIAN CABLE NET COMPANY LIMITED"/>
    <s v="Uttar Pradesh"/>
    <s v="Rental"/>
    <x v="1"/>
    <n v="1000"/>
    <m/>
    <n v="2"/>
    <s v="Exclusive"/>
    <n v="0"/>
    <n v="0"/>
    <n v="0"/>
    <n v="0"/>
    <n v="0"/>
    <n v="545.95000000000005"/>
    <n v="545.95000000000005"/>
    <m/>
    <n v="545.95000000000005"/>
    <m/>
    <n v="545.95000000000005"/>
    <x v="0"/>
  </r>
  <r>
    <n v="16"/>
    <x v="15"/>
    <s v="Om Raj Purohit"/>
    <s v="Om Raj Purohit"/>
    <s v="Sourabh cable"/>
    <s v="Rajasthan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17"/>
    <x v="16"/>
    <s v="AASHISH SHIRKE"/>
    <s v="Bharti Auti"/>
    <s v="AASHISH CABLE NET I PVT LTD"/>
    <s v="Maharashtra"/>
    <s v="Rental"/>
    <x v="1"/>
    <n v="1000"/>
    <m/>
    <n v="2"/>
    <s v="Exclusive"/>
    <n v="0"/>
    <n v="0"/>
    <n v="0"/>
    <n v="0"/>
    <n v="0"/>
    <n v="0.34"/>
    <n v="0.34"/>
    <m/>
    <n v="0.34"/>
    <m/>
    <n v="0.34"/>
    <x v="0"/>
  </r>
  <r>
    <n v="18"/>
    <x v="17"/>
    <s v="Padam singh rajput"/>
    <s v="Padam singh rajput"/>
    <s v="Enhance multi trade pvt ltd"/>
    <s v="Madhya Pradesh"/>
    <s v="Rental"/>
    <x v="1"/>
    <n v="15000"/>
    <m/>
    <n v="0.85"/>
    <s v="Exclusive"/>
    <n v="0"/>
    <n v="0"/>
    <n v="0"/>
    <n v="0"/>
    <n v="0"/>
    <n v="0"/>
    <n v="0"/>
    <m/>
    <n v="0"/>
    <m/>
    <n v="0"/>
    <x v="0"/>
  </r>
  <r>
    <n v="19"/>
    <x v="18"/>
    <s v="RAKESH CHAUHAN"/>
    <s v="RAKESH CHAUHAN"/>
    <s v="JMD CABLE NETWORK"/>
    <s v="Uttarakhand"/>
    <s v="Rental"/>
    <x v="1"/>
    <n v="1000"/>
    <m/>
    <n v="2"/>
    <s v="Exclusive"/>
    <n v="0"/>
    <n v="0"/>
    <n v="0"/>
    <n v="0"/>
    <n v="0"/>
    <n v="-7079.02"/>
    <n v="-7079.02"/>
    <m/>
    <n v="-7079.02"/>
    <m/>
    <n v="-7079.02"/>
    <x v="0"/>
  </r>
  <r>
    <n v="20"/>
    <x v="19"/>
    <s v="Md. Chand"/>
    <s v="Md. Chand"/>
    <s v="Md. Chand Cable Television Network"/>
    <s v="Jharkhand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21"/>
    <x v="20"/>
    <s v="Punish Bajaj"/>
    <s v="Punish Bajaj"/>
    <s v="Bajaj Cable Network"/>
    <s v="Delhi"/>
    <s v="Rental"/>
    <x v="1"/>
    <n v="1000"/>
    <m/>
    <n v="2"/>
    <s v="Exclusive"/>
    <n v="0"/>
    <n v="0"/>
    <n v="0"/>
    <n v="0"/>
    <n v="0"/>
    <n v="-0.43"/>
    <n v="-0.43"/>
    <m/>
    <n v="-0.43"/>
    <m/>
    <n v="-0.43"/>
    <x v="0"/>
  </r>
  <r>
    <n v="22"/>
    <x v="21"/>
    <s v="Manoj Kumar Phutela"/>
    <s v="Manoj Kumar Phutela"/>
    <s v="MUSKAN COMMUNICATION"/>
    <s v="Rajasthan"/>
    <s v="Rental"/>
    <x v="1"/>
    <n v="5000"/>
    <m/>
    <n v="1"/>
    <s v="Exclusive"/>
    <n v="0"/>
    <n v="0"/>
    <n v="0"/>
    <n v="0"/>
    <n v="0"/>
    <n v="-0.39"/>
    <n v="-0.39"/>
    <m/>
    <n v="-0.39"/>
    <m/>
    <n v="-0.39"/>
    <x v="0"/>
  </r>
  <r>
    <n v="23"/>
    <x v="22"/>
    <s v="Gagan Arora"/>
    <s v="Gagan Arora"/>
    <s v="CRYSTAL VISION MEDIA PRIVATE LIMITED"/>
    <s v="Delhi"/>
    <s v="Rental"/>
    <x v="1"/>
    <n v="15000"/>
    <m/>
    <n v="0.8"/>
    <s v="Exclusive"/>
    <n v="0"/>
    <n v="0"/>
    <n v="0"/>
    <n v="0"/>
    <n v="0"/>
    <n v="-2318"/>
    <n v="-2318"/>
    <m/>
    <n v="-2318"/>
    <m/>
    <n v="-2318"/>
    <x v="0"/>
  </r>
  <r>
    <n v="24"/>
    <x v="23"/>
    <s v="Ranjit"/>
    <s v="Ranjit"/>
    <s v="JMK Broadband"/>
    <s v="Delhi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25"/>
    <x v="24"/>
    <s v="AMANDEEP SINGH"/>
    <s v="Amandeep Singh"/>
    <s v="AB CABLE TV NETWORK"/>
    <s v="Punjab"/>
    <s v="Rental"/>
    <x v="1"/>
    <n v="5000"/>
    <m/>
    <n v="1"/>
    <s v="Exclusive"/>
    <n v="0"/>
    <n v="0"/>
    <n v="0"/>
    <n v="0"/>
    <n v="0"/>
    <n v="-0.06"/>
    <n v="-0.06"/>
    <m/>
    <n v="-0.06"/>
    <m/>
    <n v="-0.06"/>
    <x v="0"/>
  </r>
  <r>
    <n v="26"/>
    <x v="25"/>
    <s v="Arvind Shelke"/>
    <s v="Arvind Shelke"/>
    <s v="A.S. Cable Network"/>
    <s v="Maharashtra"/>
    <s v="Rental"/>
    <x v="1"/>
    <n v="1000"/>
    <m/>
    <n v="2"/>
    <s v="Exclusive"/>
    <n v="0"/>
    <n v="0"/>
    <n v="0"/>
    <n v="0"/>
    <n v="0"/>
    <n v="-0.78"/>
    <n v="-0.78"/>
    <m/>
    <n v="-0.78"/>
    <m/>
    <n v="-0.78"/>
    <x v="0"/>
  </r>
  <r>
    <n v="27"/>
    <x v="26"/>
    <s v="Mukesh Saxena"/>
    <s v="Mukesh Saxena"/>
    <s v="Akash Digital Network"/>
    <s v="Uttar Pradesh"/>
    <s v="Rental"/>
    <x v="1"/>
    <n v="1000"/>
    <m/>
    <n v="2"/>
    <s v="Exclusive"/>
    <n v="0"/>
    <n v="0"/>
    <n v="0"/>
    <n v="0"/>
    <n v="0"/>
    <n v="-2359.6"/>
    <n v="-2359.6"/>
    <m/>
    <n v="-2359.6"/>
    <m/>
    <n v="-2359.6"/>
    <x v="0"/>
  </r>
  <r>
    <n v="28"/>
    <x v="27"/>
    <s v="DHARAMVIR SINGH"/>
    <s v="Ranjeet"/>
    <s v="KATARIA CABLES"/>
    <s v="Haryana"/>
    <s v="Rental"/>
    <x v="1"/>
    <n v="800"/>
    <m/>
    <n v="1"/>
    <s v="Exclusive"/>
    <n v="0"/>
    <n v="0"/>
    <n v="0"/>
    <n v="0"/>
    <n v="0"/>
    <n v="-7876.45"/>
    <n v="-7876.45"/>
    <m/>
    <n v="-7876.45"/>
    <m/>
    <n v="-7876.45"/>
    <x v="0"/>
  </r>
  <r>
    <n v="29"/>
    <x v="28"/>
    <s v="SARABPREET SINGH"/>
    <s v="Sarabpreet Singh "/>
    <s v="BDS BROADBAND"/>
    <s v="Punjab"/>
    <s v="Rental"/>
    <x v="1"/>
    <n v="1000"/>
    <m/>
    <n v="2"/>
    <s v="Exclusive"/>
    <n v="0"/>
    <n v="0"/>
    <n v="0"/>
    <n v="0"/>
    <n v="0"/>
    <n v="-1849.5"/>
    <n v="-1849.5"/>
    <m/>
    <n v="-1849.5"/>
    <m/>
    <n v="-1849.5"/>
    <x v="0"/>
  </r>
  <r>
    <n v="30"/>
    <x v="29"/>
    <s v="RAVI KUMAR G"/>
    <s v="RAVI KUMAR G"/>
    <s v="Ravi Cable &amp; Internet Providers"/>
    <s v="Karnataka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31"/>
    <x v="30"/>
    <s v="Hemanth Raghvendra"/>
    <s v="Arun Kumar"/>
    <s v="Transmissions"/>
    <s v="Karnataka"/>
    <s v="Rental"/>
    <x v="1"/>
    <n v="1000"/>
    <m/>
    <n v="2"/>
    <s v="Exclusive"/>
    <n v="0"/>
    <n v="0"/>
    <n v="0"/>
    <n v="0"/>
    <n v="0"/>
    <n v="0.32"/>
    <n v="0.32"/>
    <m/>
    <n v="0.32"/>
    <m/>
    <n v="0.32"/>
    <x v="0"/>
  </r>
  <r>
    <n v="32"/>
    <x v="31"/>
    <s v="Gopinath Kaveti"/>
    <s v="Gopinath Kaveti"/>
    <s v="V-5 Digital Network"/>
    <s v="Karnataka"/>
    <s v="Rental"/>
    <x v="1"/>
    <n v="1000"/>
    <m/>
    <n v="2"/>
    <s v="Exclusive"/>
    <n v="0"/>
    <n v="0"/>
    <n v="0"/>
    <n v="0"/>
    <n v="0"/>
    <n v="0.01"/>
    <n v="0.01"/>
    <m/>
    <n v="0.01"/>
    <m/>
    <n v="0.01"/>
    <x v="0"/>
  </r>
  <r>
    <n v="33"/>
    <x v="32"/>
    <s v="bharat bhushan "/>
    <s v="bharat bhushan"/>
    <s v="star cable  network"/>
    <s v="Uttarakhand"/>
    <s v="Rental"/>
    <x v="2"/>
    <n v="1000"/>
    <m/>
    <n v="2"/>
    <s v="Exclusive"/>
    <n v="0"/>
    <n v="0"/>
    <n v="0"/>
    <n v="0"/>
    <n v="0"/>
    <n v="0"/>
    <n v="0"/>
    <m/>
    <n v="0"/>
    <m/>
    <n v="0"/>
    <x v="0"/>
  </r>
  <r>
    <n v="34"/>
    <x v="33"/>
    <s v="Jugnu M Gandhi"/>
    <s v="Jugnu M Gandhi"/>
    <s v="W &amp; J Cable Service"/>
    <s v="Gujarat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35"/>
    <x v="34"/>
    <s v="RAKESH SABLOK"/>
    <s v="RAKESH"/>
    <s v="SHYAMA CABLE NETWORK"/>
    <s v="Delhi"/>
    <s v="Rental"/>
    <x v="1"/>
    <n v="1000"/>
    <m/>
    <n v="1"/>
    <s v="Exclusive"/>
    <n v="0"/>
    <n v="0"/>
    <n v="0"/>
    <n v="0"/>
    <n v="0"/>
    <n v="-0.23"/>
    <n v="-0.23"/>
    <m/>
    <n v="-0.23"/>
    <m/>
    <n v="-0.23"/>
    <x v="0"/>
  </r>
  <r>
    <n v="36"/>
    <x v="35"/>
    <s v="Kaniha Lal"/>
    <s v="Kaniha Lal"/>
    <s v="DOLORA CABLE NETWORK"/>
    <s v="Rajasthan"/>
    <s v="Rental"/>
    <x v="1"/>
    <n v="1000"/>
    <m/>
    <n v="2"/>
    <s v="Exclusive"/>
    <n v="0"/>
    <n v="0"/>
    <n v="0"/>
    <n v="0"/>
    <n v="0"/>
    <n v="-0.3"/>
    <n v="-0.3"/>
    <m/>
    <n v="-0.3"/>
    <m/>
    <n v="-0.3"/>
    <x v="0"/>
  </r>
  <r>
    <n v="37"/>
    <x v="36"/>
    <s v="brjesh pratap dube"/>
    <s v="brjesh pratap dube"/>
    <s v="kamtanath cebil system"/>
    <s v="Uttar Pradesh"/>
    <s v="Rental"/>
    <x v="1"/>
    <n v="1000"/>
    <m/>
    <n v="2"/>
    <s v="Exclusive"/>
    <n v="0"/>
    <n v="0"/>
    <n v="0"/>
    <n v="0"/>
    <n v="0"/>
    <n v="-0.38"/>
    <n v="-0.38"/>
    <m/>
    <n v="-0.38"/>
    <m/>
    <n v="-0.38"/>
    <x v="0"/>
  </r>
  <r>
    <n v="38"/>
    <x v="37"/>
    <s v="Ajeet"/>
    <s v="RAVI"/>
    <s v="jai maa kali cable network"/>
    <s v="Delhi"/>
    <s v="Rental"/>
    <x v="1"/>
    <n v="1000"/>
    <m/>
    <n v="1"/>
    <s v="Exclusive"/>
    <n v="0"/>
    <n v="0"/>
    <n v="0"/>
    <n v="0"/>
    <n v="0"/>
    <n v="0"/>
    <n v="0"/>
    <m/>
    <n v="0"/>
    <m/>
    <n v="0"/>
    <x v="0"/>
  </r>
  <r>
    <n v="39"/>
    <x v="38"/>
    <s v="Mukesh Jani"/>
    <s v="Mukesh Jani"/>
    <s v="Accurate Network CTV"/>
    <s v="Gujarat"/>
    <s v="Rental"/>
    <x v="1"/>
    <n v="1000"/>
    <m/>
    <n v="1"/>
    <s v="Exclusive"/>
    <n v="0"/>
    <n v="0"/>
    <n v="0"/>
    <n v="0"/>
    <n v="0"/>
    <n v="99.86"/>
    <n v="99.86"/>
    <m/>
    <n v="99.86"/>
    <m/>
    <n v="99.86"/>
    <x v="0"/>
  </r>
  <r>
    <n v="40"/>
    <x v="39"/>
    <s v="R.K.Sethi"/>
    <s v="R.K.Sethi"/>
    <s v="Y.V.N Cable Network"/>
    <s v="Delhi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41"/>
    <x v="40"/>
    <s v="Pravinbhai Deshmukh"/>
    <s v="Paresh"/>
    <s v="Sri Krishna Cable Vision"/>
    <s v="Gujarat"/>
    <s v="Rental"/>
    <x v="1"/>
    <n v="1000"/>
    <m/>
    <n v="2"/>
    <s v="Exclusive"/>
    <n v="0"/>
    <n v="0"/>
    <n v="0"/>
    <n v="0"/>
    <n v="0"/>
    <n v="-0.26"/>
    <n v="-0.26"/>
    <m/>
    <n v="-0.26"/>
    <m/>
    <n v="-0.26"/>
    <x v="0"/>
  </r>
  <r>
    <n v="42"/>
    <x v="41"/>
    <s v="Shakti Sharma"/>
    <s v="Shakti Sharma"/>
    <s v="Venus communication"/>
    <s v="Punjab"/>
    <s v="Rental"/>
    <x v="1"/>
    <n v="1000"/>
    <m/>
    <n v="2"/>
    <s v="Exclusive"/>
    <n v="0"/>
    <n v="0"/>
    <n v="0"/>
    <n v="0"/>
    <n v="0"/>
    <n v="0.16"/>
    <n v="0.16"/>
    <m/>
    <n v="0.16"/>
    <m/>
    <n v="0.16"/>
    <x v="0"/>
  </r>
  <r>
    <n v="43"/>
    <x v="42"/>
    <s v="Santhosh Kumar Janardhanan"/>
    <s v="Santhosh Kumar Janardhanan"/>
    <s v="Sandeep Communication"/>
    <s v="Kerala"/>
    <s v="Rental"/>
    <x v="1"/>
    <n v="1000"/>
    <m/>
    <n v="2"/>
    <s v="Exclusive"/>
    <n v="0"/>
    <n v="0"/>
    <n v="0"/>
    <n v="0"/>
    <n v="0"/>
    <n v="-0.34"/>
    <n v="-0.34"/>
    <m/>
    <n v="-0.34"/>
    <m/>
    <n v="-0.34"/>
    <x v="0"/>
  </r>
  <r>
    <n v="44"/>
    <x v="43"/>
    <s v="Narayan Swamy "/>
    <s v="Narayan Swamy"/>
    <s v="Geethanjali Cable Network"/>
    <s v="Karnataka"/>
    <s v="Rental"/>
    <x v="1"/>
    <n v="1000"/>
    <m/>
    <n v="2"/>
    <s v="Exclusive"/>
    <n v="0"/>
    <n v="0"/>
    <n v="0"/>
    <n v="0"/>
    <n v="0"/>
    <n v="-0.1"/>
    <n v="-0.1"/>
    <m/>
    <n v="-0.1"/>
    <m/>
    <n v="-0.1"/>
    <x v="0"/>
  </r>
  <r>
    <n v="45"/>
    <x v="44"/>
    <s v="Mahinder Kumar"/>
    <s v="Mehendra Kumar"/>
    <s v="JAI AMBEY CABLE NETWORK"/>
    <s v="Delhi"/>
    <s v="Rental"/>
    <x v="1"/>
    <n v="1000"/>
    <m/>
    <n v="2"/>
    <s v="Exclusive"/>
    <n v="0"/>
    <n v="0"/>
    <n v="0"/>
    <n v="0"/>
    <n v="0"/>
    <n v="-0.34"/>
    <n v="-0.34"/>
    <m/>
    <n v="-0.34"/>
    <m/>
    <n v="-0.34"/>
    <x v="0"/>
  </r>
  <r>
    <n v="46"/>
    <x v="45"/>
    <s v="Sunil Sasan"/>
    <s v="Sunil Sasan"/>
    <s v="SKY NETWORKS"/>
    <s v="Delhi"/>
    <s v="Rental"/>
    <x v="1"/>
    <n v="1000"/>
    <m/>
    <n v="2"/>
    <s v="Exclusive"/>
    <n v="0"/>
    <n v="0"/>
    <n v="0"/>
    <n v="0"/>
    <n v="0"/>
    <n v="0.4"/>
    <n v="0.4"/>
    <m/>
    <n v="0.4"/>
    <m/>
    <n v="0.4"/>
    <x v="0"/>
  </r>
  <r>
    <n v="47"/>
    <x v="46"/>
    <s v="Ishwer Sankhla"/>
    <s v="Ishwer Sankhla"/>
    <s v="Maruthi  Digital"/>
    <s v="Rajasthan"/>
    <s v="Rental"/>
    <x v="1"/>
    <n v="1000"/>
    <m/>
    <n v="2"/>
    <s v="Exclusive"/>
    <n v="0"/>
    <n v="0"/>
    <n v="0"/>
    <n v="0"/>
    <n v="0"/>
    <n v="0.18"/>
    <n v="0.18"/>
    <m/>
    <n v="0.18"/>
    <m/>
    <n v="0.18"/>
    <x v="0"/>
  </r>
  <r>
    <n v="48"/>
    <x v="47"/>
    <s v="SATISH M.P."/>
    <s v="PRADEEP T.D."/>
    <s v="S-TEK COMMUNICATION"/>
    <s v="Karnataka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49"/>
    <x v="48"/>
    <s v="Anil Kumar N. Dhabi"/>
    <s v="Anil Kumar N. Dhabi"/>
    <s v="Jay Video"/>
    <s v="Gujarat"/>
    <s v="Rental"/>
    <x v="1"/>
    <n v="1000"/>
    <m/>
    <n v="2"/>
    <s v="Exclusive"/>
    <n v="0"/>
    <n v="0"/>
    <n v="0"/>
    <n v="0"/>
    <n v="0"/>
    <n v="-0.24"/>
    <n v="-0.24"/>
    <m/>
    <n v="-0.24"/>
    <m/>
    <n v="-0.24"/>
    <x v="0"/>
  </r>
  <r>
    <n v="50"/>
    <x v="49"/>
    <s v="Basanta Kumar Sahoo"/>
    <s v="Basanta Kumar Sahoo"/>
    <s v="Tarini cable network"/>
    <s v="Odisha"/>
    <s v="Rental"/>
    <x v="1"/>
    <n v="1000"/>
    <m/>
    <n v="2"/>
    <s v="Exclusive"/>
    <n v="0"/>
    <n v="0"/>
    <n v="0"/>
    <n v="0"/>
    <n v="0"/>
    <n v="0.18"/>
    <n v="0.18"/>
    <m/>
    <n v="0.18"/>
    <m/>
    <n v="0.18"/>
    <x v="0"/>
  </r>
  <r>
    <n v="51"/>
    <x v="50"/>
    <s v="rajesh chauhan"/>
    <s v="rajesh chauhan"/>
    <s v="New Tehri cable network"/>
    <s v="Uttarakhand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52"/>
    <x v="51"/>
    <s v="Sridhar KM"/>
    <s v="SHILPA G"/>
    <s v="Maruthi Enterprises"/>
    <s v="Karnataka"/>
    <s v="Rental"/>
    <x v="1"/>
    <n v="1000"/>
    <m/>
    <n v="2"/>
    <s v="Exclusive"/>
    <n v="0"/>
    <n v="0"/>
    <n v="0"/>
    <n v="0"/>
    <n v="0"/>
    <n v="0.02"/>
    <n v="0.02"/>
    <m/>
    <n v="0.02"/>
    <m/>
    <n v="0.02"/>
    <x v="0"/>
  </r>
  <r>
    <n v="53"/>
    <x v="52"/>
    <s v="Ketan Dalal Biharilal"/>
    <s v="Ketan Dalal Biharilal"/>
    <s v="Shree Yamuna Cable Network"/>
    <s v="Gujarat"/>
    <s v="Rental"/>
    <x v="1"/>
    <n v="1000"/>
    <m/>
    <n v="1"/>
    <s v="Exclusive"/>
    <n v="0"/>
    <n v="0"/>
    <n v="0"/>
    <n v="0"/>
    <n v="0"/>
    <n v="0"/>
    <n v="0"/>
    <m/>
    <n v="0"/>
    <m/>
    <n v="0"/>
    <x v="0"/>
  </r>
  <r>
    <n v="54"/>
    <x v="53"/>
    <s v="Somashekar"/>
    <s v="Somashekhar"/>
    <s v="Sri Manjunatha Star Vision"/>
    <s v="Karnataka"/>
    <s v="Rental"/>
    <x v="1"/>
    <n v="1000"/>
    <m/>
    <n v="2"/>
    <s v="Exclusive"/>
    <n v="0"/>
    <n v="0"/>
    <n v="0"/>
    <n v="0"/>
    <n v="0"/>
    <n v="-0.19"/>
    <n v="-0.19"/>
    <m/>
    <n v="-0.19"/>
    <m/>
    <n v="-0.19"/>
    <x v="0"/>
  </r>
  <r>
    <n v="55"/>
    <x v="54"/>
    <s v="Vijaypal Singh Pundir"/>
    <s v="Vijaypal Singh Pundir"/>
    <s v="Pundir Star Digital Network"/>
    <s v="Uttarakhand"/>
    <s v="Rental"/>
    <x v="1"/>
    <n v="1000"/>
    <m/>
    <n v="2"/>
    <s v="Exclusive"/>
    <n v="0"/>
    <n v="0"/>
    <n v="0"/>
    <n v="0"/>
    <n v="0"/>
    <n v="-0.44"/>
    <n v="-0.44"/>
    <m/>
    <n v="-0.44"/>
    <m/>
    <n v="-0.44"/>
    <x v="0"/>
  </r>
  <r>
    <n v="56"/>
    <x v="55"/>
    <s v="Umeshbhai Patel"/>
    <s v="Umeshbhai Patel"/>
    <s v="SHIVAM VISION"/>
    <s v="Gujarat"/>
    <s v="Rental"/>
    <x v="1"/>
    <n v="1000"/>
    <m/>
    <n v="2"/>
    <s v="Exclusive"/>
    <n v="0"/>
    <n v="0"/>
    <n v="0"/>
    <n v="0"/>
    <n v="0"/>
    <n v="-0.1"/>
    <n v="-0.1"/>
    <m/>
    <n v="-0.1"/>
    <m/>
    <n v="-0.1"/>
    <x v="0"/>
  </r>
  <r>
    <n v="57"/>
    <x v="56"/>
    <s v="Ranjoy Sarkar"/>
    <s v="Ranjoy Sarkar"/>
    <s v="Drishti Netcom"/>
    <s v="West Bengal"/>
    <s v="Rental"/>
    <x v="1"/>
    <n v="1000"/>
    <m/>
    <n v="2"/>
    <s v="Exclusive"/>
    <n v="0"/>
    <n v="0"/>
    <n v="0"/>
    <n v="0"/>
    <n v="0"/>
    <n v="-0.86"/>
    <n v="-0.86"/>
    <m/>
    <n v="-0.86"/>
    <m/>
    <n v="-0.86"/>
    <x v="0"/>
  </r>
  <r>
    <n v="58"/>
    <x v="57"/>
    <s v="Vimal Gulati"/>
    <s v="Vimal Gulati"/>
    <s v="Shree Shakti Channel Vision"/>
    <s v="Gujarat"/>
    <s v="Rental"/>
    <x v="1"/>
    <n v="1000"/>
    <m/>
    <n v="2"/>
    <s v="Exclusive"/>
    <n v="0"/>
    <n v="0"/>
    <n v="0"/>
    <n v="0"/>
    <n v="0"/>
    <n v="-0.92"/>
    <n v="-0.92"/>
    <m/>
    <n v="-0.92"/>
    <m/>
    <n v="-0.92"/>
    <x v="0"/>
  </r>
  <r>
    <n v="59"/>
    <x v="58"/>
    <s v="Shiv"/>
    <s v="Shiv"/>
    <s v="Shivas Cable"/>
    <s v="Punjab"/>
    <s v="Rental"/>
    <x v="1"/>
    <n v="1000"/>
    <m/>
    <n v="2"/>
    <s v="Exclusive"/>
    <n v="0"/>
    <n v="0"/>
    <n v="0"/>
    <n v="0"/>
    <n v="0"/>
    <n v="-8.6"/>
    <n v="-8.6"/>
    <m/>
    <n v="-8.6"/>
    <m/>
    <n v="-8.6"/>
    <x v="0"/>
  </r>
  <r>
    <n v="60"/>
    <x v="59"/>
    <s v="M.KESHAVAIAH NAIDU"/>
    <s v="M KESHAVAIAH NAIDU"/>
    <s v="Sri Raghavendra Enterprises"/>
    <s v="Karnataka"/>
    <s v="Rental"/>
    <x v="1"/>
    <n v="1000"/>
    <m/>
    <n v="2"/>
    <s v="Exclusive"/>
    <n v="0"/>
    <n v="0"/>
    <n v="0"/>
    <n v="0"/>
    <n v="0"/>
    <n v="0.4"/>
    <n v="0.4"/>
    <m/>
    <n v="0.4"/>
    <m/>
    <n v="0.4"/>
    <x v="0"/>
  </r>
  <r>
    <n v="61"/>
    <x v="60"/>
    <s v="Naveeen Kumar"/>
    <s v="Naveeen Kumar"/>
    <s v="Naveen Electronics &amp; Cable"/>
    <s v="Rajasthan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62"/>
    <x v="61"/>
    <s v="Satish Kalra"/>
    <s v="Chanchal Tiwari"/>
    <s v="Tushar Digital Cable Network"/>
    <s v="Rajasthan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63"/>
    <x v="62"/>
    <s v="Maninder Singh"/>
    <s v="Maninder Singh"/>
    <s v="Modern Video Lab and Cable Network"/>
    <s v="Punjab"/>
    <s v="Rental"/>
    <x v="1"/>
    <n v="1000"/>
    <m/>
    <n v="2"/>
    <s v="Exclusive"/>
    <n v="0"/>
    <n v="0"/>
    <n v="0"/>
    <n v="0"/>
    <n v="0"/>
    <n v="0.3"/>
    <n v="0.3"/>
    <m/>
    <n v="0.3"/>
    <m/>
    <n v="0.3"/>
    <x v="0"/>
  </r>
  <r>
    <n v="64"/>
    <x v="63"/>
    <s v="Sanjeet Ramniklal Shah"/>
    <s v="Sanjeet Ramniklal Shah"/>
    <s v="WorldWide Satellite Cable Network"/>
    <s v="Maharashtra"/>
    <s v="Rental"/>
    <x v="1"/>
    <n v="1000"/>
    <m/>
    <n v="1"/>
    <s v="Exclusive"/>
    <n v="0"/>
    <n v="0"/>
    <n v="0"/>
    <n v="0"/>
    <n v="0"/>
    <n v="0"/>
    <n v="0"/>
    <m/>
    <n v="0"/>
    <m/>
    <n v="0"/>
    <x v="0"/>
  </r>
  <r>
    <n v="65"/>
    <x v="64"/>
    <s v="Javed Naseer Khan"/>
    <s v="Javed Naseer Khan"/>
    <s v="Manoranjan Network"/>
    <s v="Delhi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66"/>
    <x v="65"/>
    <s v="Gajanan Mahadeo Sarvankar"/>
    <s v="Gajanan Mahadeo Sarvankar"/>
    <s v="Omkar Cable Services"/>
    <s v="Maharashtra"/>
    <s v="Rental"/>
    <x v="1"/>
    <n v="1000"/>
    <m/>
    <n v="2"/>
    <s v="Exclusive"/>
    <n v="0"/>
    <n v="0"/>
    <n v="0"/>
    <n v="0"/>
    <n v="0"/>
    <n v="-26.12"/>
    <n v="-26.12"/>
    <m/>
    <n v="-26.12"/>
    <m/>
    <n v="-26.12"/>
    <x v="0"/>
  </r>
  <r>
    <n v="67"/>
    <x v="66"/>
    <s v="YASH GUPTA"/>
    <s v="Jitendra Gupta / Nandkishore"/>
    <s v="YASH DIGITAL NETWORK"/>
    <s v="Himachal Pradesh"/>
    <s v="Rental"/>
    <x v="1"/>
    <n v="1000"/>
    <m/>
    <n v="2"/>
    <s v="Exclusive"/>
    <n v="0"/>
    <n v="0"/>
    <n v="0"/>
    <n v="0"/>
    <n v="0"/>
    <n v="0.3"/>
    <n v="0.3"/>
    <m/>
    <n v="0.3"/>
    <m/>
    <n v="0.3"/>
    <x v="0"/>
  </r>
  <r>
    <n v="68"/>
    <x v="67"/>
    <s v="Sharad Malhotra"/>
    <s v="Rajesh Kumar"/>
    <s v="Wire Communication System"/>
    <s v="Himachal Pradesh"/>
    <s v="Rental"/>
    <x v="1"/>
    <n v="1000"/>
    <m/>
    <n v="2"/>
    <s v="Exclusive"/>
    <n v="0"/>
    <n v="0"/>
    <n v="0"/>
    <n v="0"/>
    <n v="0"/>
    <n v="-1.84"/>
    <n v="-1.84"/>
    <m/>
    <n v="-1.84"/>
    <m/>
    <n v="-1.84"/>
    <x v="0"/>
  </r>
  <r>
    <n v="69"/>
    <x v="68"/>
    <s v="Manoj Sharma"/>
    <s v="Manoj Kumar"/>
    <s v="Media Cable TV"/>
    <s v="Assam"/>
    <s v="Rental"/>
    <x v="1"/>
    <n v="1000"/>
    <m/>
    <n v="1"/>
    <s v="Exclusive"/>
    <n v="0"/>
    <n v="0"/>
    <n v="0"/>
    <n v="0"/>
    <n v="0"/>
    <n v="0"/>
    <n v="0"/>
    <m/>
    <n v="0"/>
    <m/>
    <n v="0"/>
    <x v="0"/>
  </r>
  <r>
    <n v="70"/>
    <x v="69"/>
    <s v="Manoj Aggarwal"/>
    <s v="Manoj Aggarwal"/>
    <s v="AGRAWAL CABLE COMMUNICATION"/>
    <s v="Maharashtra"/>
    <s v="Rental"/>
    <x v="1"/>
    <n v="1000"/>
    <m/>
    <n v="2"/>
    <s v="Exclusive"/>
    <n v="0"/>
    <n v="0"/>
    <n v="0"/>
    <n v="0"/>
    <n v="0"/>
    <n v="-0.5"/>
    <n v="-0.5"/>
    <m/>
    <n v="-0.5"/>
    <m/>
    <n v="-0.5"/>
    <x v="0"/>
  </r>
  <r>
    <n v="71"/>
    <x v="70"/>
    <s v="SANJAY B.N."/>
    <s v="SANJAY B.N."/>
    <s v="CHANAKYA DIGITAL CABLE"/>
    <s v="Karnataka"/>
    <s v="Rental"/>
    <x v="1"/>
    <n v="1000"/>
    <m/>
    <n v="2"/>
    <s v="Exclusive"/>
    <n v="0"/>
    <n v="0"/>
    <n v="0"/>
    <n v="0"/>
    <n v="0"/>
    <n v="-0.18"/>
    <n v="-0.18"/>
    <m/>
    <n v="-0.18"/>
    <m/>
    <n v="-0.18"/>
    <x v="0"/>
  </r>
  <r>
    <n v="72"/>
    <x v="71"/>
    <s v="Wilson pinto"/>
    <s v="Wilson pinto"/>
    <s v="Bharath electronics"/>
    <s v="Karnataka"/>
    <s v="Rental"/>
    <x v="1"/>
    <n v="1000"/>
    <m/>
    <n v="2"/>
    <s v="Exclusive"/>
    <n v="0"/>
    <n v="0"/>
    <n v="0"/>
    <n v="0"/>
    <n v="0"/>
    <n v="0.52"/>
    <n v="0.52"/>
    <m/>
    <n v="0.52"/>
    <m/>
    <n v="0.52"/>
    <x v="0"/>
  </r>
  <r>
    <n v="73"/>
    <x v="72"/>
    <s v="BHASKAR YASHWANT GHADWAJE"/>
    <s v="BHASKAR YASHWANT GHADWAJE"/>
    <s v="VICKY CABLE NETWORK"/>
    <s v="Maharashtra"/>
    <s v="Rental"/>
    <x v="1"/>
    <n v="1000"/>
    <m/>
    <n v="2"/>
    <s v="Exclusive"/>
    <n v="0"/>
    <n v="0"/>
    <n v="0"/>
    <n v="0"/>
    <n v="0"/>
    <n v="-0.16"/>
    <n v="-0.16"/>
    <m/>
    <n v="-0.16"/>
    <m/>
    <n v="-0.16"/>
    <x v="0"/>
  </r>
  <r>
    <n v="74"/>
    <x v="73"/>
    <s v="Rakesh Bhatia"/>
    <s v="Rakesh Bhatia"/>
    <s v="Bhatia Cable TV Network"/>
    <s v="Delhi"/>
    <s v="Rental"/>
    <x v="1"/>
    <n v="1000"/>
    <m/>
    <n v="1"/>
    <s v="Exclusive"/>
    <n v="0"/>
    <n v="0"/>
    <n v="0"/>
    <n v="0"/>
    <n v="0"/>
    <n v="40"/>
    <n v="40"/>
    <m/>
    <n v="40"/>
    <m/>
    <n v="40"/>
    <x v="0"/>
  </r>
  <r>
    <n v="75"/>
    <x v="74"/>
    <s v="SURENDER SEHRAWAT"/>
    <s v="Mr.PRAMOD YADAV"/>
    <s v="CLASSIC CABLE NETWORK"/>
    <s v="Haryana"/>
    <s v="Rental"/>
    <x v="1"/>
    <n v="1000"/>
    <m/>
    <n v="2"/>
    <s v="Exclusive"/>
    <n v="0"/>
    <n v="0"/>
    <n v="0"/>
    <n v="0"/>
    <n v="0"/>
    <n v="0.54"/>
    <n v="0.54"/>
    <m/>
    <n v="0.54"/>
    <m/>
    <n v="0.54"/>
    <x v="0"/>
  </r>
  <r>
    <n v="76"/>
    <x v="75"/>
    <s v="SURENDER SEHRAWAT"/>
    <s v="surender kumar"/>
    <s v="CLASSIC CABLE NETWORK"/>
    <s v="Haryana"/>
    <s v="Rental"/>
    <x v="1"/>
    <n v="1000"/>
    <m/>
    <n v="2"/>
    <s v="Exclusive"/>
    <n v="0"/>
    <n v="0"/>
    <n v="0"/>
    <n v="0"/>
    <n v="0"/>
    <n v="0.54"/>
    <n v="0.54"/>
    <m/>
    <n v="0.54"/>
    <m/>
    <n v="0.54"/>
    <x v="0"/>
  </r>
  <r>
    <n v="77"/>
    <x v="76"/>
    <s v="Madhur Rathore"/>
    <s v="Madhur Rathore"/>
    <s v="Sanjay TV Communication &amp; Electricals"/>
    <s v="Madhya Pradesh"/>
    <s v="Rental"/>
    <x v="1"/>
    <n v="500"/>
    <m/>
    <n v="2"/>
    <s v="Exclusive"/>
    <n v="0"/>
    <n v="0"/>
    <n v="0"/>
    <n v="0"/>
    <n v="0"/>
    <n v="-0.05"/>
    <n v="-0.05"/>
    <m/>
    <n v="-0.05"/>
    <m/>
    <n v="-0.05"/>
    <x v="0"/>
  </r>
  <r>
    <n v="78"/>
    <x v="77"/>
    <s v="Suhas A .Rangnekar"/>
    <s v="Anvit"/>
    <s v="Sai Electronics"/>
    <s v="Maharashtra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79"/>
    <x v="78"/>
    <s v="Kulyesh Mehra"/>
    <s v="Kulyesh Mehra"/>
    <s v="Mehra Cable Network"/>
    <s v="Punjab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80"/>
    <x v="79"/>
    <s v="Ashok Bhat"/>
    <s v="Ashok Bhat"/>
    <s v="Shree Ganesh Enterprises"/>
    <s v="Maharashtra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81"/>
    <x v="80"/>
    <s v="Siji P Chandran"/>
    <s v="siji P chandran"/>
    <s v="Planet Cablenet"/>
    <s v="Kerala"/>
    <s v="Rental"/>
    <x v="1"/>
    <n v="1000"/>
    <m/>
    <n v="1"/>
    <s v="Exclusive"/>
    <n v="0"/>
    <n v="0"/>
    <n v="0"/>
    <n v="0"/>
    <n v="0"/>
    <n v="0.1"/>
    <n v="0.1"/>
    <m/>
    <n v="0.1"/>
    <m/>
    <n v="0.1"/>
    <x v="0"/>
  </r>
  <r>
    <n v="82"/>
    <x v="81"/>
    <s v="Yashwanth"/>
    <s v="Yashwanth"/>
    <s v="Swasthik Cable TV Pachanady"/>
    <s v="Karnataka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83"/>
    <x v="82"/>
    <s v="Rajesh Sharma"/>
    <s v="Pawan gupta, Vikas"/>
    <s v="SURYA CABLE TV NETWORK"/>
    <s v="Delhi"/>
    <s v="Rental"/>
    <x v="1"/>
    <n v="10000"/>
    <m/>
    <n v="1"/>
    <s v="Exclusive"/>
    <n v="0"/>
    <n v="0"/>
    <n v="0"/>
    <n v="0"/>
    <n v="0"/>
    <n v="-0.28000000000000003"/>
    <n v="-0.28000000000000003"/>
    <m/>
    <n v="-0.28000000000000003"/>
    <m/>
    <n v="-0.28000000000000003"/>
    <x v="0"/>
  </r>
  <r>
    <n v="84"/>
    <x v="83"/>
    <s v="A.Sasikumar"/>
    <s v="A.Sasikumar"/>
    <s v="Nathan Cable Vision"/>
    <s v="Tamil Nadu"/>
    <s v="Rental"/>
    <x v="1"/>
    <n v="1000"/>
    <m/>
    <n v="2"/>
    <s v="Exclusive"/>
    <n v="0"/>
    <n v="0"/>
    <n v="0"/>
    <n v="0"/>
    <n v="0"/>
    <n v="-0.5"/>
    <n v="-0.5"/>
    <m/>
    <n v="-0.5"/>
    <m/>
    <n v="-0.5"/>
    <x v="0"/>
  </r>
  <r>
    <n v="85"/>
    <x v="84"/>
    <s v="KRISHNAMURTHY S G"/>
    <s v="KRISHNAMURTHY S G"/>
    <s v="V2CABLE LINKS"/>
    <s v="Karnataka"/>
    <s v="Rental"/>
    <x v="1"/>
    <n v="1000"/>
    <m/>
    <n v="2"/>
    <s v="Exclusive"/>
    <n v="0"/>
    <n v="0"/>
    <n v="0"/>
    <n v="0"/>
    <n v="0"/>
    <n v="0"/>
    <n v="0"/>
    <m/>
    <n v="0"/>
    <m/>
    <n v="0"/>
    <x v="0"/>
  </r>
  <r>
    <n v="86"/>
    <x v="85"/>
    <s v="murali"/>
    <s v="murali"/>
    <s v="maruthi cables"/>
    <s v="Karnataka"/>
    <s v="Rental"/>
    <x v="1"/>
    <n v="1000"/>
    <m/>
    <n v="2"/>
    <s v="Exclusive"/>
    <n v="0"/>
    <n v="0"/>
    <n v="0"/>
    <n v="0"/>
    <n v="0"/>
    <n v="0.36"/>
    <n v="0.36"/>
    <m/>
    <n v="0.36"/>
    <m/>
    <n v="0.36"/>
    <x v="0"/>
  </r>
  <r>
    <n v="87"/>
    <x v="86"/>
    <s v="Shiva Gowda"/>
    <s v="Wilson"/>
    <s v="Thriveni Sangam Cable TV Network"/>
    <s v="Karnataka"/>
    <s v="Rental"/>
    <x v="1"/>
    <n v="1000"/>
    <m/>
    <n v="1"/>
    <s v="Exclusive"/>
    <n v="0"/>
    <n v="0"/>
    <n v="0"/>
    <n v="0"/>
    <n v="0"/>
    <n v="0.32"/>
    <n v="0.32"/>
    <m/>
    <n v="0.32"/>
    <m/>
    <n v="0.32"/>
    <x v="0"/>
  </r>
  <r>
    <n v="88"/>
    <x v="87"/>
    <s v="Vikram L Chindaliya"/>
    <s v="Vikram L Chindaliya"/>
    <s v="Vikram Cable Network"/>
    <s v="Maharashtra"/>
    <s v="Rental"/>
    <x v="1"/>
    <n v="1000"/>
    <m/>
    <n v="2"/>
    <s v="Exclusive"/>
    <n v="0"/>
    <n v="0"/>
    <n v="0"/>
    <n v="0"/>
    <n v="0"/>
    <n v="0.52"/>
    <n v="0.52"/>
    <m/>
    <n v="0.52"/>
    <m/>
    <n v="0.52"/>
    <x v="0"/>
  </r>
  <r>
    <n v="89"/>
    <x v="88"/>
    <s v="N K Nagabushana"/>
    <s v="Ishwari"/>
    <s v="VARUN ENTERPRISES"/>
    <s v="Karnataka"/>
    <s v="Rental"/>
    <x v="1"/>
    <n v="1000"/>
    <m/>
    <n v="2"/>
    <s v="Exclusive"/>
    <n v="0"/>
    <n v="0"/>
    <n v="0"/>
    <n v="0"/>
    <n v="0"/>
    <n v="-484.26"/>
    <n v="-484.26"/>
    <m/>
    <n v="-484.26"/>
    <m/>
    <n v="-484.26"/>
    <x v="0"/>
  </r>
  <r>
    <n v="90"/>
    <x v="89"/>
    <s v="Surinder Sobti"/>
    <s v="Surinder Sobti"/>
    <s v="Sobti Digital Cable"/>
    <s v="Haryana"/>
    <s v="Rental"/>
    <x v="1"/>
    <n v="1000"/>
    <m/>
    <n v="2"/>
    <s v="Exclusive"/>
    <n v="0"/>
    <n v="0"/>
    <n v="0"/>
    <n v="0"/>
    <n v="0"/>
    <n v="0.42"/>
    <n v="0.42"/>
    <m/>
    <n v="0.42"/>
    <m/>
    <n v="0.42"/>
    <x v="0"/>
  </r>
  <r>
    <n v="91"/>
    <x v="90"/>
    <s v="ROHIT NETAJI KASHID"/>
    <s v="Netaji Dadarao Kashid"/>
    <s v="Shree Manoranjan Cable Tv Network"/>
    <s v="Maharashtra"/>
    <s v="Rental"/>
    <x v="1"/>
    <n v="1000"/>
    <m/>
    <n v="1"/>
    <s v="Exclusive"/>
    <n v="0"/>
    <n v="0"/>
    <n v="0"/>
    <n v="0"/>
    <n v="0"/>
    <n v="-7080.15"/>
    <n v="-7080.15"/>
    <m/>
    <n v="-7080.15"/>
    <m/>
    <n v="-7080.15"/>
    <x v="0"/>
  </r>
  <r>
    <n v="92"/>
    <x v="91"/>
    <s v="Kapil"/>
    <s v="Kapil"/>
    <s v="Matangeshwar Cable Network"/>
    <s v="Madhya Pradesh"/>
    <s v="Rental"/>
    <x v="1"/>
    <n v="500"/>
    <m/>
    <n v="2"/>
    <s v="Exclusive"/>
    <n v="0"/>
    <n v="0"/>
    <n v="0"/>
    <n v="0"/>
    <n v="0"/>
    <n v="-3882.2"/>
    <n v="-3882.2"/>
    <m/>
    <n v="-3882.2"/>
    <m/>
    <n v="-3882.2"/>
    <x v="0"/>
  </r>
  <r>
    <n v="93"/>
    <x v="92"/>
    <s v="S.R.Babajan"/>
    <s v="S.R.Babajan"/>
    <s v="Neha Cable Network"/>
    <s v="Karnataka"/>
    <s v="Rental"/>
    <x v="2"/>
    <n v="1000"/>
    <m/>
    <n v="1"/>
    <s v="Exclusive"/>
    <n v="0"/>
    <n v="0"/>
    <n v="0"/>
    <n v="0"/>
    <n v="0"/>
    <n v="-2360"/>
    <n v="-2360"/>
    <m/>
    <n v="-2360"/>
    <m/>
    <n v="-2360"/>
    <x v="0"/>
  </r>
  <r>
    <n v="94"/>
    <x v="93"/>
    <s v="rohit shukla"/>
    <s v="rohit shukla"/>
    <s v="SUMEET STAR VISION"/>
    <s v="Maharashtra"/>
    <s v="Rental"/>
    <x v="1"/>
    <n v="1000"/>
    <m/>
    <n v="1"/>
    <s v="Exclusive"/>
    <n v="0"/>
    <n v="0"/>
    <n v="0"/>
    <n v="0"/>
    <n v="0"/>
    <n v="-1419.9"/>
    <n v="-1419.9"/>
    <m/>
    <n v="-1419.9"/>
    <m/>
    <n v="-1419.9"/>
    <x v="0"/>
  </r>
  <r>
    <n v="95"/>
    <x v="94"/>
    <s v="Harsh  Raghuvanshi"/>
    <s v="Harsh  Raghuvanshi"/>
    <s v="Harsh Cable Network"/>
    <s v="Madhya Pradesh"/>
    <s v="Rental"/>
    <x v="1"/>
    <n v="500"/>
    <m/>
    <n v="1.5"/>
    <s v="Exclusive"/>
    <n v="0"/>
    <n v="0"/>
    <n v="0"/>
    <n v="0"/>
    <n v="0"/>
    <n v="-1792.81"/>
    <n v="-1792.81"/>
    <m/>
    <n v="-1792.81"/>
    <m/>
    <n v="-1792.81"/>
    <x v="0"/>
  </r>
  <r>
    <n v="96"/>
    <x v="95"/>
    <s v="Hari SIngh"/>
    <s v="Hari SIngh "/>
    <s v="Shri Naina Cable Network"/>
    <s v="Himachal Pradesh"/>
    <s v="Rental"/>
    <x v="1"/>
    <n v="1000"/>
    <m/>
    <n v="1"/>
    <s v="Exclusive"/>
    <n v="0"/>
    <n v="0"/>
    <n v="0"/>
    <n v="0"/>
    <n v="0"/>
    <n v="0.38"/>
    <n v="0.38"/>
    <m/>
    <n v="0.38"/>
    <m/>
    <n v="0.38"/>
    <x v="0"/>
  </r>
  <r>
    <n v="97"/>
    <x v="96"/>
    <s v="Anil Vartak"/>
    <s v="Priya Gharat"/>
    <s v="Suvidha Star Vision"/>
    <s v="Maharashtra"/>
    <s v="Rental"/>
    <x v="1"/>
    <n v="1000"/>
    <m/>
    <n v="2"/>
    <s v="Exclusive"/>
    <n v="0"/>
    <n v="0"/>
    <n v="0"/>
    <n v="0"/>
    <n v="0"/>
    <n v="-7510.37"/>
    <n v="-7510.37"/>
    <m/>
    <n v="-7510.37"/>
    <m/>
    <n v="-7510.37"/>
    <x v="0"/>
  </r>
  <r>
    <n v="98"/>
    <x v="97"/>
    <s v="Janardan Ragunath Bhoir"/>
    <s v="9890018977"/>
    <s v="Shree Santoshi Cable Vision"/>
    <s v="Maharashtra"/>
    <s v="Rental"/>
    <x v="2"/>
    <n v="500"/>
    <m/>
    <n v="3"/>
    <s v="Exclusive"/>
    <n v="0"/>
    <n v="0"/>
    <n v="0"/>
    <n v="0"/>
    <n v="0"/>
    <n v="-2990"/>
    <n v="-2990"/>
    <m/>
    <n v="-2990"/>
    <m/>
    <n v="-2990"/>
    <x v="0"/>
  </r>
  <r>
    <n v="99"/>
    <x v="98"/>
    <s v="VIDYA KRISHNARAO DESHMUKH"/>
    <s v="VIDYA KRISHNARAO DESHMUKH"/>
    <s v="TEJAS CABLE NETWORK"/>
    <s v="Maharashtra"/>
    <s v="Rental"/>
    <x v="1"/>
    <n v="800"/>
    <m/>
    <n v="2"/>
    <s v="Exclusive"/>
    <n v="0"/>
    <n v="0"/>
    <n v="0"/>
    <n v="0"/>
    <n v="0"/>
    <n v="-5663.52"/>
    <n v="-5663.52"/>
    <m/>
    <n v="-5663.52"/>
    <m/>
    <n v="-5663.52"/>
    <x v="0"/>
  </r>
  <r>
    <n v="100"/>
    <x v="99"/>
    <s v="MOHD ABDULLAH FAHEEM"/>
    <s v="MOHD ABDULLAH FAHEEM"/>
    <s v="Vision Club"/>
    <s v="Telangana"/>
    <s v="Rental"/>
    <x v="2"/>
    <n v="1500"/>
    <m/>
    <n v="1.5"/>
    <s v="Exclusive"/>
    <n v="0"/>
    <n v="0"/>
    <n v="0"/>
    <n v="0"/>
    <n v="0"/>
    <n v="-7965.42"/>
    <n v="-7965.42"/>
    <m/>
    <n v="-7965.42"/>
    <m/>
    <n v="-7965.42"/>
    <x v="0"/>
  </r>
  <r>
    <n v="101"/>
    <x v="100"/>
    <s v="Amardeep"/>
    <s v="Chirag"/>
    <s v="Signet Digital Private Limited"/>
    <s v="Maharashtra"/>
    <s v="Rental"/>
    <x v="2"/>
    <n v="1000"/>
    <m/>
    <n v="2"/>
    <s v="Exclusive"/>
    <n v="0"/>
    <n v="0"/>
    <n v="0"/>
    <n v="0"/>
    <n v="0"/>
    <n v="-590.41999999999996"/>
    <n v="-590.41999999999996"/>
    <m/>
    <n v="-590.41999999999996"/>
    <m/>
    <n v="-590.41999999999996"/>
    <x v="0"/>
  </r>
  <r>
    <n v="102"/>
    <x v="101"/>
    <s v="Nitin gopal Jadhav"/>
    <s v="Nitin gopal Jadhav"/>
    <s v="Jadhav Cable Network"/>
    <s v="Maharashtra"/>
    <s v="Rental"/>
    <x v="2"/>
    <n v="1000"/>
    <m/>
    <n v="2"/>
    <s v="Exclusive"/>
    <n v="0"/>
    <n v="0"/>
    <n v="0"/>
    <n v="0"/>
    <n v="0"/>
    <n v="-5848.96"/>
    <n v="-5848.96"/>
    <m/>
    <n v="-5848.96"/>
    <m/>
    <n v="-5848.96"/>
    <x v="0"/>
  </r>
  <r>
    <n v="103"/>
    <x v="102"/>
    <s v="SAGAR GANESHBHAI SAWANT"/>
    <s v="SAGAR GANESHBHAI SAWANT"/>
    <s v="SAI DRASHTI CABLE VISION"/>
    <s v="Gujarat"/>
    <s v="Rental"/>
    <x v="2"/>
    <n v="1000"/>
    <m/>
    <n v="2"/>
    <s v="Exclusive"/>
    <n v="0"/>
    <n v="0"/>
    <n v="0"/>
    <n v="0"/>
    <n v="0"/>
    <n v="-5309.5"/>
    <n v="-5309.5"/>
    <m/>
    <n v="-5309.5"/>
    <m/>
    <n v="-5309.5"/>
    <x v="0"/>
  </r>
  <r>
    <n v="104"/>
    <x v="103"/>
    <s v="Namdeo Ugale"/>
    <s v="Namdeo Ugale"/>
    <s v="Vinayak Electronics"/>
    <s v="Madhya Pradesh"/>
    <s v="Rental"/>
    <x v="2"/>
    <n v="500"/>
    <m/>
    <n v="2"/>
    <s v="Exclusive"/>
    <n v="0"/>
    <n v="0"/>
    <n v="0"/>
    <n v="0"/>
    <n v="0"/>
    <n v="-4720"/>
    <n v="-4720"/>
    <m/>
    <n v="-4720"/>
    <m/>
    <n v="-4720"/>
    <x v="0"/>
  </r>
  <r>
    <n v="105"/>
    <x v="104"/>
    <s v="Naresh Patel"/>
    <s v="Naresh Patel"/>
    <s v="Gujrat Wifi"/>
    <s v="Gujarat"/>
    <s v="Rental"/>
    <x v="2"/>
    <n v="500"/>
    <m/>
    <n v="1.5"/>
    <s v="Exclusive"/>
    <n v="0"/>
    <n v="0"/>
    <n v="0"/>
    <n v="0"/>
    <n v="0"/>
    <n v="-5390"/>
    <n v="-5390"/>
    <m/>
    <n v="-5390"/>
    <m/>
    <n v="-5390"/>
    <x v="0"/>
  </r>
  <r>
    <n v="106"/>
    <x v="105"/>
    <s v="Narendra"/>
    <s v="Narendra"/>
    <s v="Hitesh Cable Network"/>
    <s v="Maharashtra"/>
    <s v="Rental"/>
    <x v="2"/>
    <n v="500"/>
    <m/>
    <n v="1.5"/>
    <s v="Exclusive"/>
    <n v="0"/>
    <n v="0"/>
    <n v="0"/>
    <n v="0"/>
    <n v="0"/>
    <n v="-6507.37"/>
    <n v="-6507.37"/>
    <m/>
    <n v="-6507.37"/>
    <m/>
    <n v="-6507.37"/>
    <x v="0"/>
  </r>
  <r>
    <n v="107"/>
    <x v="106"/>
    <s v="Avinash"/>
    <s v="Avinash"/>
    <s v="Yashika Cable Network"/>
    <s v="Maharashtra"/>
    <s v="Rental"/>
    <x v="2"/>
    <n v="500"/>
    <m/>
    <n v="2"/>
    <s v="Exclusive"/>
    <n v="0"/>
    <n v="0"/>
    <n v="0"/>
    <n v="0"/>
    <n v="0"/>
    <n v="-2402.48"/>
    <n v="-2402.48"/>
    <m/>
    <n v="-2402.48"/>
    <m/>
    <n v="-2402.48"/>
    <x v="0"/>
  </r>
  <r>
    <n v="108"/>
    <x v="107"/>
    <s v="Patel Sunil Kumar Bharatbhai"/>
    <s v="Patel Sunil Kumar Bharatbhai"/>
    <s v="Drashti Vision"/>
    <s v="Gujarat"/>
    <s v="Rental"/>
    <x v="2"/>
    <n v="500"/>
    <m/>
    <n v="1.5"/>
    <s v="Exclusive"/>
    <n v="0"/>
    <n v="0"/>
    <n v="0"/>
    <n v="0"/>
    <n v="0"/>
    <n v="-7160"/>
    <n v="-7160"/>
    <m/>
    <n v="-7160"/>
    <m/>
    <n v="-7160"/>
    <x v="0"/>
  </r>
  <r>
    <n v="109"/>
    <x v="108"/>
    <s v="Sandip"/>
    <s v="Sandip"/>
    <s v="Shree Cable Network"/>
    <s v="Maharashtra"/>
    <s v="Rental"/>
    <x v="2"/>
    <n v="500"/>
    <m/>
    <n v="2.5"/>
    <s v="Exclusive"/>
    <n v="0"/>
    <n v="0"/>
    <n v="0"/>
    <n v="0"/>
    <n v="0"/>
    <n v="-4956"/>
    <n v="-4956"/>
    <m/>
    <n v="-4956"/>
    <m/>
    <n v="-4956"/>
    <x v="0"/>
  </r>
  <r>
    <n v="110"/>
    <x v="109"/>
    <s v="S Srinivasan"/>
    <s v="S Srinivasan"/>
    <s v="Abbys Telelinks"/>
    <s v="Karnataka"/>
    <s v="Rental"/>
    <x v="2"/>
    <n v="750"/>
    <m/>
    <n v="3"/>
    <s v="Exclusive"/>
    <n v="0"/>
    <n v="0"/>
    <n v="0"/>
    <n v="0"/>
    <n v="0"/>
    <n v="-10620"/>
    <n v="-10620"/>
    <m/>
    <n v="-10620"/>
    <m/>
    <n v="-10620"/>
    <x v="0"/>
  </r>
  <r>
    <n v="111"/>
    <x v="110"/>
    <s v="Ratilal Gupta"/>
    <s v="Ratilal Gupta"/>
    <s v="Magic Vision Cable Network"/>
    <s v="Maharashtra"/>
    <s v="Rental"/>
    <x v="2"/>
    <n v="1000"/>
    <m/>
    <n v="2.5"/>
    <s v="Exclusive"/>
    <n v="0"/>
    <n v="0"/>
    <n v="0"/>
    <n v="0"/>
    <n v="0"/>
    <n v="-0.08"/>
    <n v="-0.08"/>
    <m/>
    <n v="-0.08"/>
    <m/>
    <n v="-0.08"/>
    <x v="0"/>
  </r>
  <r>
    <n v="112"/>
    <x v="111"/>
    <s v="BHARTI"/>
    <s v="BHARTI"/>
    <s v="BHARTI CABLE NETWORK"/>
    <s v="Delhi"/>
    <s v="Rental"/>
    <x v="2"/>
    <n v="1000"/>
    <m/>
    <n v="2.5"/>
    <s v="Exclusive"/>
    <n v="0"/>
    <n v="0"/>
    <n v="0"/>
    <n v="0"/>
    <n v="0"/>
    <n v="-0.22"/>
    <n v="-0.22"/>
    <m/>
    <n v="-0.22"/>
    <m/>
    <n v="-0.22"/>
    <x v="0"/>
  </r>
  <r>
    <n v="113"/>
    <x v="112"/>
    <s v="Ikab Singh Chhabra"/>
    <s v="Ikab Singh Chhabra"/>
    <s v="Mrs. Iqabl Singh Chhabra"/>
    <s v="Madhya Pradesh"/>
    <s v="Rental"/>
    <x v="2"/>
    <n v="2000"/>
    <m/>
    <n v="2.5"/>
    <s v="Exclusive"/>
    <n v="0"/>
    <n v="0"/>
    <n v="0"/>
    <n v="0"/>
    <n v="0"/>
    <n v="-0.03"/>
    <n v="-0.03"/>
    <m/>
    <n v="-0.03"/>
    <m/>
    <n v="-0.03"/>
    <x v="0"/>
  </r>
  <r>
    <n v="114"/>
    <x v="113"/>
    <s v="Sanjay Palav"/>
    <s v="Santosh "/>
    <s v="VCPL Network Pvt Ltd"/>
    <s v="Maharashtra"/>
    <s v="Rental"/>
    <x v="2"/>
    <n v="20000"/>
    <m/>
    <n v="1"/>
    <s v="Exclusive"/>
    <n v="0"/>
    <n v="0"/>
    <n v="0"/>
    <n v="0"/>
    <n v="0"/>
    <n v="0.01"/>
    <n v="0.01"/>
    <m/>
    <n v="0.01"/>
    <m/>
    <n v="0.01"/>
    <x v="0"/>
  </r>
  <r>
    <n v="115"/>
    <x v="114"/>
    <s v="Lakshmi Kanta Bera"/>
    <s v="Chabbi"/>
    <s v="BRIGHTER &amp; BRIGHTER TECHNOLOGY"/>
    <s v="West Bengal"/>
    <s v="Rental"/>
    <x v="1"/>
    <n v="1000"/>
    <m/>
    <n v="2"/>
    <s v="Exclusive"/>
    <n v="0"/>
    <n v="0"/>
    <n v="0"/>
    <n v="0"/>
    <n v="0"/>
    <n v="0.46"/>
    <n v="0.46"/>
    <m/>
    <n v="0.46"/>
    <m/>
    <n v="0.46"/>
    <x v="0"/>
  </r>
  <r>
    <n v="116"/>
    <x v="115"/>
    <s v="Bhagwan Sukhadev Donde"/>
    <s v="Bhagwan Sukhadev Donde"/>
    <s v="Om Sai Cable Network"/>
    <s v="Maharashtra"/>
    <s v="Rental"/>
    <x v="2"/>
    <n v="800"/>
    <m/>
    <n v="2.5"/>
    <s v="Exclusive"/>
    <n v="0"/>
    <n v="0"/>
    <n v="0"/>
    <n v="0"/>
    <n v="0"/>
    <n v="-15930.72"/>
    <n v="-15930.72"/>
    <m/>
    <n v="-15930.72"/>
    <m/>
    <n v="-15930.72"/>
    <x v="0"/>
  </r>
  <r>
    <n v="117"/>
    <x v="116"/>
    <s v="Ganesh Dubey"/>
    <s v="Ganesh Dubey"/>
    <s v="VM DIGITAL NETWORKS PRIVATE LIMITED"/>
    <s v="Uttar Pradesh"/>
    <s v="Rental"/>
    <x v="2"/>
    <n v="1000"/>
    <m/>
    <n v="2"/>
    <s v="Exclusive"/>
    <n v="0"/>
    <n v="0"/>
    <n v="0"/>
    <n v="0"/>
    <n v="0"/>
    <n v="14.77"/>
    <n v="14.77"/>
    <m/>
    <n v="14.77"/>
    <m/>
    <n v="14.77"/>
    <x v="0"/>
  </r>
  <r>
    <n v="118"/>
    <x v="117"/>
    <s v="Gururaj S Mankar"/>
    <s v="Gururaj S Mankar"/>
    <s v="R K Cable Network"/>
    <s v="Karnataka"/>
    <s v="Rental"/>
    <x v="2"/>
    <n v="650"/>
    <m/>
    <n v="3"/>
    <s v="Exclusive"/>
    <n v="0"/>
    <n v="0"/>
    <n v="0"/>
    <n v="0"/>
    <n v="0"/>
    <n v="19.690000000000001"/>
    <n v="19.690000000000001"/>
    <m/>
    <n v="19.690000000000001"/>
    <m/>
    <n v="19.690000000000001"/>
    <x v="0"/>
  </r>
  <r>
    <n v="119"/>
    <x v="118"/>
    <s v="Vinesh Gunvantrai Desai"/>
    <s v="Shraddha Kandy"/>
    <s v="Shree Sai Satellite"/>
    <s v="Maharashtra"/>
    <s v="Rental"/>
    <x v="2"/>
    <n v="1000"/>
    <m/>
    <n v="2"/>
    <s v="Exclusive"/>
    <n v="0"/>
    <n v="0"/>
    <n v="0"/>
    <n v="0"/>
    <n v="0"/>
    <n v="-9685.65"/>
    <n v="-9685.65"/>
    <m/>
    <n v="-9685.65"/>
    <m/>
    <n v="-9685.65"/>
    <x v="0"/>
  </r>
  <r>
    <n v="120"/>
    <x v="119"/>
    <s v="Pradeep Dehankar"/>
    <s v="Shwetha"/>
    <s v="SARGAM NET"/>
    <s v="Maharashtra"/>
    <s v="Rental"/>
    <x v="2"/>
    <n v="1000"/>
    <m/>
    <n v="2"/>
    <s v="Exclusive"/>
    <n v="0"/>
    <n v="0"/>
    <n v="0"/>
    <n v="0"/>
    <n v="0"/>
    <n v="0.28999999999999998"/>
    <n v="0.28999999999999998"/>
    <m/>
    <n v="0.28999999999999998"/>
    <m/>
    <n v="0.28999999999999998"/>
    <x v="0"/>
  </r>
  <r>
    <n v="121"/>
    <x v="120"/>
    <s v="Mukesh Chaudhary"/>
    <s v="Mukesh Chaudhary"/>
    <s v="WIN CABLE SERVICES"/>
    <s v="Haryana"/>
    <s v="Rental"/>
    <x v="2"/>
    <n v="10000"/>
    <m/>
    <n v="1"/>
    <s v="Exclusive"/>
    <n v="0"/>
    <n v="0"/>
    <n v="0"/>
    <n v="0"/>
    <n v="0"/>
    <n v="89.46"/>
    <n v="89.46"/>
    <m/>
    <n v="89.46"/>
    <m/>
    <n v="89.46"/>
    <x v="0"/>
  </r>
  <r>
    <n v="122"/>
    <x v="121"/>
    <s v="Kwality Communication"/>
    <s v="Amit Lohiya"/>
    <s v="Kwality Communication"/>
    <s v="Madhya Pradesh"/>
    <s v="Rental"/>
    <x v="2"/>
    <n v="1000"/>
    <m/>
    <n v="2"/>
    <s v="Exclusive"/>
    <n v="0"/>
    <n v="0"/>
    <n v="0"/>
    <n v="0"/>
    <n v="0"/>
    <n v="-0.23"/>
    <n v="-0.23"/>
    <m/>
    <n v="-0.23"/>
    <m/>
    <n v="-0.23"/>
    <x v="0"/>
  </r>
  <r>
    <n v="123"/>
    <x v="122"/>
    <s v="Ashok Sehdev"/>
    <s v="Ashok Sehdev"/>
    <s v="WORLD VIDEO"/>
    <s v="Delhi"/>
    <s v="Rental"/>
    <x v="2"/>
    <n v="1000"/>
    <m/>
    <n v="2"/>
    <s v="Exclusive"/>
    <n v="0"/>
    <n v="0"/>
    <n v="0"/>
    <n v="0"/>
    <n v="0"/>
    <n v="0"/>
    <n v="0"/>
    <m/>
    <n v="0"/>
    <m/>
    <n v="0"/>
    <x v="0"/>
  </r>
  <r>
    <n v="124"/>
    <x v="123"/>
    <s v="Hemant j. chiplunkar"/>
    <s v="Hemant j. chiplunkar"/>
    <s v="SAI CHANNEL"/>
    <s v="Maharashtra"/>
    <s v="Rental"/>
    <x v="2"/>
    <n v="1000"/>
    <m/>
    <n v="2"/>
    <s v="Exclusive"/>
    <n v="0"/>
    <n v="0"/>
    <n v="0"/>
    <n v="0"/>
    <n v="0"/>
    <n v="0"/>
    <n v="0"/>
    <m/>
    <n v="0"/>
    <m/>
    <n v="0"/>
    <x v="0"/>
  </r>
  <r>
    <n v="125"/>
    <x v="124"/>
    <s v="Navneet Sethi"/>
    <s v="Gourav Sachdeva"/>
    <s v="TRIPLE PLAY TELECOM PRIVATE LIMITED"/>
    <s v="Haryana"/>
    <s v="Rental"/>
    <x v="1"/>
    <n v="5000"/>
    <m/>
    <n v="1.5"/>
    <s v="Exclusive"/>
    <n v="0"/>
    <n v="0"/>
    <n v="0"/>
    <n v="0"/>
    <n v="0"/>
    <n v="-399.73"/>
    <n v="-399.73"/>
    <m/>
    <n v="-399.73"/>
    <m/>
    <n v="-399.73"/>
    <x v="0"/>
  </r>
  <r>
    <n v="126"/>
    <x v="125"/>
    <s v="Om Raj Purohit"/>
    <s v="Om Raj Purohit"/>
    <s v="Saurabh cable"/>
    <s v="Rajasthan"/>
    <s v="Rental"/>
    <x v="2"/>
    <n v="1000"/>
    <m/>
    <n v="2"/>
    <s v="Exclusive"/>
    <n v="0"/>
    <n v="0"/>
    <n v="0"/>
    <n v="0"/>
    <n v="0"/>
    <n v="-0.08"/>
    <n v="-0.08"/>
    <m/>
    <n v="-0.08"/>
    <m/>
    <n v="-0.08"/>
    <x v="0"/>
  </r>
  <r>
    <n v="127"/>
    <x v="126"/>
    <s v="Ajay Nemade"/>
    <s v="Ajay Nemade"/>
    <s v="vision cable network"/>
    <s v="Maharashtra"/>
    <s v="Rental"/>
    <x v="1"/>
    <n v="1000"/>
    <m/>
    <n v="1.5"/>
    <s v="Exclusive"/>
    <n v="0"/>
    <n v="0"/>
    <n v="0"/>
    <n v="0"/>
    <n v="0"/>
    <n v="0.33"/>
    <n v="0.33"/>
    <m/>
    <n v="0.33"/>
    <m/>
    <n v="0.33"/>
    <x v="0"/>
  </r>
  <r>
    <n v="128"/>
    <x v="127"/>
    <s v="Harish Raghuwanshi"/>
    <s v="Harish Raghuwanshi"/>
    <s v="Raghuwansh Techcon"/>
    <s v="Madhya Pradesh"/>
    <s v="Rental"/>
    <x v="2"/>
    <n v="1000"/>
    <m/>
    <n v="2"/>
    <s v="Exclusive"/>
    <n v="0"/>
    <n v="0"/>
    <n v="0"/>
    <n v="0"/>
    <n v="0"/>
    <n v="-8591.74"/>
    <n v="-8591.74"/>
    <m/>
    <n v="-8591.74"/>
    <m/>
    <n v="-8591.74"/>
    <x v="0"/>
  </r>
  <r>
    <n v="129"/>
    <x v="128"/>
    <s v="Gaurav Kumar"/>
    <s v="Amit"/>
    <s v="Kumar Cable Network"/>
    <s v="Delhi"/>
    <s v="Rental"/>
    <x v="2"/>
    <n v="650"/>
    <m/>
    <n v="2.5"/>
    <s v="Exclusive"/>
    <n v="0"/>
    <n v="0"/>
    <n v="0"/>
    <n v="0"/>
    <n v="0"/>
    <n v="-18407.939999999999"/>
    <n v="-18407.939999999999"/>
    <m/>
    <n v="-18407.939999999999"/>
    <m/>
    <n v="-18407.939999999999"/>
    <x v="0"/>
  </r>
  <r>
    <n v="130"/>
    <x v="129"/>
    <s v="Ananta Vanarase"/>
    <s v="Ananta Vanarase"/>
    <s v="Swastik Cable Network"/>
    <s v="Maharashtra"/>
    <s v="Rental"/>
    <x v="2"/>
    <n v="1000"/>
    <m/>
    <n v="2"/>
    <s v="Exclusive"/>
    <n v="0"/>
    <n v="0"/>
    <n v="0"/>
    <n v="0"/>
    <n v="0"/>
    <n v="-21876.74"/>
    <n v="-21876.74"/>
    <m/>
    <n v="-21876.74"/>
    <m/>
    <n v="-21876.74"/>
    <x v="0"/>
  </r>
  <r>
    <n v="131"/>
    <x v="130"/>
    <s v="Manoj juneja"/>
    <s v="Sanjeev chetwani"/>
    <s v="SANJAY CABLE NETWORK PVT.  LTD."/>
    <s v="Delhi"/>
    <s v="Rental"/>
    <x v="1"/>
    <n v="1000"/>
    <m/>
    <n v="2"/>
    <s v="Exclusive"/>
    <n v="0"/>
    <n v="0"/>
    <n v="0"/>
    <n v="0"/>
    <n v="0"/>
    <n v="-0.68"/>
    <n v="-0.68"/>
    <m/>
    <n v="-0.68"/>
    <m/>
    <n v="-0.68"/>
    <x v="0"/>
  </r>
  <r>
    <n v="132"/>
    <x v="131"/>
    <s v="Saikh Abrar Ahmad"/>
    <s v="Saikh Abrar Ahmad"/>
    <s v="Abrar Cable Network"/>
    <s v="Madhya Pradesh"/>
    <s v="Rental"/>
    <x v="3"/>
    <n v="500"/>
    <m/>
    <n v="5"/>
    <s v="Exclusive"/>
    <n v="0"/>
    <n v="0"/>
    <n v="0"/>
    <n v="0"/>
    <n v="0"/>
    <n v="-10922.58"/>
    <n v="-10922.58"/>
    <m/>
    <n v="-10922.58"/>
    <m/>
    <n v="-10922.58"/>
    <x v="0"/>
  </r>
  <r>
    <n v="133"/>
    <x v="132"/>
    <s v=" CHANDRASHEKHAR DATTATRAY NAIK"/>
    <s v=" CHANDRASHEKHAR DATTATRAY NAIK"/>
    <s v="Signet Broadband Pvt Ltd"/>
    <s v="Maharashtra"/>
    <s v="Rental"/>
    <x v="3"/>
    <n v="500"/>
    <m/>
    <n v="5"/>
    <s v="Exclusive"/>
    <n v="0"/>
    <n v="0"/>
    <n v="0"/>
    <n v="0"/>
    <n v="0"/>
    <n v="2030"/>
    <n v="2030"/>
    <m/>
    <n v="2030"/>
    <m/>
    <n v="2030"/>
    <x v="0"/>
  </r>
  <r>
    <n v="134"/>
    <x v="133"/>
    <s v="Naveen Kumar"/>
    <s v="Naveen Kumar"/>
    <s v="MASS COMPUTERS"/>
    <s v="Haryana"/>
    <s v="Rental"/>
    <x v="3"/>
    <n v="500"/>
    <m/>
    <n v="4"/>
    <s v="Exclusive"/>
    <n v="0"/>
    <n v="0"/>
    <n v="0"/>
    <n v="0"/>
    <n v="0"/>
    <n v="-4720"/>
    <n v="-4720"/>
    <m/>
    <n v="-4720"/>
    <m/>
    <n v="-4720"/>
    <x v="0"/>
  </r>
  <r>
    <n v="135"/>
    <x v="134"/>
    <s v="Kunal Bhatia"/>
    <s v="Kunal Bhatia"/>
    <s v="Speednet Solutions"/>
    <s v="Uttarakhand"/>
    <s v="Rental"/>
    <x v="3"/>
    <n v="250"/>
    <m/>
    <n v="6"/>
    <s v="Exclusive"/>
    <n v="0"/>
    <n v="0"/>
    <n v="0"/>
    <n v="0"/>
    <n v="0"/>
    <n v="-5310"/>
    <n v="-5310"/>
    <m/>
    <n v="-5310"/>
    <m/>
    <n v="-5310"/>
    <x v="0"/>
  </r>
  <r>
    <n v="136"/>
    <x v="135"/>
    <m/>
    <m/>
    <m/>
    <m/>
    <s v="Rental"/>
    <x v="4"/>
    <n v="5000"/>
    <m/>
    <n v="1.1499999999999999"/>
    <s v="Exclusive"/>
    <n v="0"/>
    <n v="0"/>
    <n v="0"/>
    <n v="0"/>
    <n v="0"/>
    <n v="0"/>
    <n v="0"/>
    <m/>
    <n v="0"/>
    <m/>
    <n v="0"/>
    <x v="0"/>
  </r>
  <r>
    <m/>
    <x v="136"/>
    <m/>
    <m/>
    <m/>
    <m/>
    <m/>
    <x v="5"/>
    <m/>
    <m/>
    <m/>
    <m/>
    <m/>
    <m/>
    <m/>
    <m/>
    <m/>
    <m/>
    <m/>
    <m/>
    <m/>
    <m/>
    <m/>
    <x v="0"/>
  </r>
  <r>
    <m/>
    <x v="136"/>
    <m/>
    <m/>
    <m/>
    <m/>
    <m/>
    <x v="5"/>
    <m/>
    <m/>
    <m/>
    <m/>
    <m/>
    <m/>
    <m/>
    <m/>
    <m/>
    <m/>
    <m/>
    <m/>
    <m/>
    <m/>
    <m/>
    <x v="0"/>
  </r>
  <r>
    <m/>
    <x v="136"/>
    <m/>
    <m/>
    <m/>
    <m/>
    <m/>
    <x v="5"/>
    <m/>
    <m/>
    <m/>
    <m/>
    <m/>
    <m/>
    <m/>
    <m/>
    <m/>
    <m/>
    <m/>
    <m/>
    <m/>
    <m/>
    <m/>
    <x v="0"/>
  </r>
  <r>
    <m/>
    <x v="136"/>
    <m/>
    <m/>
    <m/>
    <m/>
    <m/>
    <x v="5"/>
    <m/>
    <m/>
    <m/>
    <m/>
    <m/>
    <m/>
    <m/>
    <m/>
    <m/>
    <m/>
    <m/>
    <m/>
    <m/>
    <m/>
    <m/>
    <x v="0"/>
  </r>
  <r>
    <m/>
    <x v="136"/>
    <m/>
    <m/>
    <m/>
    <m/>
    <m/>
    <x v="5"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6F9FE-A038-405E-A5B9-E1C3B3842CB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A2:B7" firstHeaderRow="1" firstDataRow="1" firstDataCol="1"/>
  <pivotFields count="24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h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Count of Cable Operator ID" fld="1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C52A4-99D6-4AAA-819D-76E02FA34A2A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D2:E8" firstHeaderRow="1" firstDataRow="1" firstDataCol="1"/>
  <pivotFields count="24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h="1"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Cable Operator ID" fld="1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6B77F-313E-45DC-A031-03DBB5BA9206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D12:E19" firstHeaderRow="1" firstDataRow="1" firstDataCol="1" rowPageCount="1" colPageCount="1"/>
  <pivotFields count="24">
    <pivotField showAll="0"/>
    <pivotField axis="axisRow" dataField="1" showAll="0">
      <items count="138">
        <item x="89"/>
        <item x="109"/>
        <item x="24"/>
        <item x="69"/>
        <item x="26"/>
        <item x="38"/>
        <item x="25"/>
        <item x="20"/>
        <item x="28"/>
        <item x="71"/>
        <item x="111"/>
        <item x="73"/>
        <item x="114"/>
        <item x="70"/>
        <item x="19"/>
        <item x="75"/>
        <item x="22"/>
        <item x="9"/>
        <item x="35"/>
        <item x="10"/>
        <item x="124"/>
        <item x="11"/>
        <item x="56"/>
        <item x="17"/>
        <item x="43"/>
        <item x="74"/>
        <item x="14"/>
        <item x="112"/>
        <item x="44"/>
        <item x="48"/>
        <item x="2"/>
        <item x="18"/>
        <item x="23"/>
        <item x="37"/>
        <item x="36"/>
        <item x="84"/>
        <item x="27"/>
        <item x="128"/>
        <item x="121"/>
        <item x="1"/>
        <item x="110"/>
        <item x="64"/>
        <item x="85"/>
        <item x="46"/>
        <item x="51"/>
        <item x="78"/>
        <item x="16"/>
        <item x="21"/>
        <item x="68"/>
        <item x="62"/>
        <item x="83"/>
        <item x="60"/>
        <item x="50"/>
        <item x="65"/>
        <item x="7"/>
        <item x="80"/>
        <item x="54"/>
        <item x="29"/>
        <item x="127"/>
        <item x="117"/>
        <item x="77"/>
        <item x="123"/>
        <item x="119"/>
        <item x="4"/>
        <item x="42"/>
        <item x="130"/>
        <item x="3"/>
        <item x="79"/>
        <item x="55"/>
        <item x="58"/>
        <item x="97"/>
        <item x="34"/>
        <item x="12"/>
        <item x="100"/>
        <item x="40"/>
        <item x="45"/>
        <item x="0"/>
        <item x="90"/>
        <item x="53"/>
        <item x="95"/>
        <item x="125"/>
        <item x="15"/>
        <item x="59"/>
        <item x="5"/>
        <item x="57"/>
        <item x="8"/>
        <item x="118"/>
        <item x="96"/>
        <item x="32"/>
        <item x="76"/>
        <item x="47"/>
        <item x="82"/>
        <item x="81"/>
        <item x="129"/>
        <item x="52"/>
        <item x="49"/>
        <item x="61"/>
        <item x="98"/>
        <item x="30"/>
        <item x="86"/>
        <item x="13"/>
        <item x="31"/>
        <item x="88"/>
        <item x="99"/>
        <item x="113"/>
        <item x="41"/>
        <item x="72"/>
        <item x="87"/>
        <item x="126"/>
        <item x="116"/>
        <item x="67"/>
        <item x="120"/>
        <item x="33"/>
        <item x="63"/>
        <item x="122"/>
        <item x="66"/>
        <item x="39"/>
        <item x="136"/>
        <item x="102"/>
        <item x="115"/>
        <item x="101"/>
        <item x="131"/>
        <item x="91"/>
        <item x="103"/>
        <item x="92"/>
        <item x="108"/>
        <item x="94"/>
        <item x="104"/>
        <item x="105"/>
        <item x="132"/>
        <item x="106"/>
        <item x="107"/>
        <item x="133"/>
        <item x="93"/>
        <item x="134"/>
        <item x="6"/>
        <item x="13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sd="0" x="2"/>
        <item sd="0" x="1"/>
        <item sd="0" x="0"/>
        <item h="1" sd="0" x="5"/>
        <item sd="0" x="3"/>
        <item x="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</pivotFields>
  <rowFields count="2">
    <field x="7"/>
    <field x="1"/>
  </rowFields>
  <rowItems count="7">
    <i>
      <x/>
    </i>
    <i>
      <x v="1"/>
    </i>
    <i>
      <x v="2"/>
    </i>
    <i>
      <x v="4"/>
    </i>
    <i>
      <x v="5"/>
    </i>
    <i r="1">
      <x v="136"/>
    </i>
    <i t="grand">
      <x/>
    </i>
  </rowItems>
  <colItems count="1">
    <i/>
  </colItems>
  <pageFields count="1">
    <pageField fld="23" hier="-1"/>
  </pageFields>
  <dataFields count="1">
    <dataField name="Count of Cable Operator ID" fld="1" subtotal="count" baseField="0" baseItem="0"/>
  </dataFields>
  <formats count="8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7" count="0"/>
        </references>
      </pivotArea>
    </format>
    <format dxfId="16">
      <pivotArea dataOnly="0" labelOnly="1" grandRow="1" outline="0" fieldPosition="0"/>
    </format>
    <format dxfId="15">
      <pivotArea collapsedLevelsAreSubtotals="1" fieldPosition="0">
        <references count="1">
          <reference field="7" count="1">
            <x v="0"/>
          </reference>
        </references>
      </pivotArea>
    </format>
    <format dxfId="14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1">
            <x v="0"/>
          </reference>
        </references>
      </pivotArea>
    </format>
    <format dxfId="12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9E43-2ECD-46CC-BBA3-34CB822BF5D3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A12:B17" firstHeaderRow="1" firstDataRow="1" firstDataCol="1" rowPageCount="1" colPageCount="1"/>
  <pivotFields count="24">
    <pivotField showAll="0"/>
    <pivotField axis="axisRow" dataField="1" showAll="0">
      <items count="155">
        <item x="79"/>
        <item x="127"/>
        <item x="24"/>
        <item x="77"/>
        <item x="71"/>
        <item x="67"/>
        <item x="47"/>
        <item x="21"/>
        <item m="1" x="149"/>
        <item x="18"/>
        <item x="87"/>
        <item x="118"/>
        <item x="45"/>
        <item x="116"/>
        <item x="40"/>
        <item m="1" x="142"/>
        <item x="55"/>
        <item x="35"/>
        <item x="17"/>
        <item x="11"/>
        <item x="98"/>
        <item x="14"/>
        <item x="128"/>
        <item x="10"/>
        <item x="58"/>
        <item x="140"/>
        <item x="99"/>
        <item x="66"/>
        <item x="0"/>
        <item x="33"/>
        <item x="124"/>
        <item x="60"/>
        <item x="36"/>
        <item x="1"/>
        <item x="22"/>
        <item x="20"/>
        <item x="19"/>
        <item x="43"/>
        <item x="96"/>
        <item x="34"/>
        <item x="106"/>
        <item x="120"/>
        <item x="3"/>
        <item x="119"/>
        <item x="49"/>
        <item x="76"/>
        <item x="61"/>
        <item x="25"/>
        <item x="74"/>
        <item x="32"/>
        <item x="23"/>
        <item x="53"/>
        <item x="28"/>
        <item m="1" x="143"/>
        <item x="80"/>
        <item x="26"/>
        <item x="68"/>
        <item x="78"/>
        <item x="9"/>
        <item x="93"/>
        <item m="1" x="145"/>
        <item x="59"/>
        <item x="97"/>
        <item m="1" x="150"/>
        <item x="92"/>
        <item x="107"/>
        <item x="122"/>
        <item x="90"/>
        <item x="126"/>
        <item x="130"/>
        <item x="4"/>
        <item x="51"/>
        <item x="29"/>
        <item x="31"/>
        <item x="8"/>
        <item x="91"/>
        <item m="1" x="153"/>
        <item x="70"/>
        <item x="44"/>
        <item x="103"/>
        <item x="27"/>
        <item x="12"/>
        <item m="1" x="152"/>
        <item x="64"/>
        <item x="81"/>
        <item x="2"/>
        <item x="100"/>
        <item x="54"/>
        <item x="83"/>
        <item x="132"/>
        <item x="56"/>
        <item x="52"/>
        <item x="5"/>
        <item x="57"/>
        <item x="13"/>
        <item x="102"/>
        <item x="101"/>
        <item x="46"/>
        <item x="41"/>
        <item x="75"/>
        <item x="50"/>
        <item x="94"/>
        <item x="117"/>
        <item x="85"/>
        <item x="62"/>
        <item x="38"/>
        <item x="104"/>
        <item m="1" x="148"/>
        <item x="69"/>
        <item x="88"/>
        <item x="7"/>
        <item x="73"/>
        <item x="48"/>
        <item x="42"/>
        <item x="105"/>
        <item x="121"/>
        <item x="84"/>
        <item x="63"/>
        <item x="86"/>
        <item x="135"/>
        <item x="129"/>
        <item x="89"/>
        <item x="125"/>
        <item x="65"/>
        <item x="37"/>
        <item x="123"/>
        <item x="72"/>
        <item x="30"/>
        <item x="141"/>
        <item m="1" x="144"/>
        <item x="133"/>
        <item x="39"/>
        <item x="134"/>
        <item x="131"/>
        <item x="110"/>
        <item x="136"/>
        <item m="1" x="151"/>
        <item x="95"/>
        <item m="1" x="147"/>
        <item x="108"/>
        <item x="16"/>
        <item x="115"/>
        <item x="15"/>
        <item m="1" x="146"/>
        <item x="111"/>
        <item x="112"/>
        <item x="137"/>
        <item x="113"/>
        <item x="114"/>
        <item x="109"/>
        <item x="138"/>
        <item x="82"/>
        <item x="139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sd="0" x="2"/>
        <item sd="0" x="0"/>
        <item sd="0" x="1"/>
        <item h="1" sd="0" x="4"/>
        <item sd="0" x="3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</pivotFields>
  <rowFields count="2">
    <field x="7"/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3" hier="-1"/>
  </pageFields>
  <dataFields count="1">
    <dataField name="Count of Cable Operator ID" fld="1" subtotal="count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7" type="button" dataOnly="0" labelOnly="1" outline="0" axis="axisRow" fieldPosition="0"/>
    </format>
    <format dxfId="22">
      <pivotArea dataOnly="0" labelOnly="1" fieldPosition="0">
        <references count="1">
          <reference field="7" count="1">
            <x v="0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.bin"/><Relationship Id="rId3" Type="http://schemas.openxmlformats.org/officeDocument/2006/relationships/printerSettings" Target="../printerSettings/printerSettings12.bin"/><Relationship Id="rId7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6" Type="http://schemas.openxmlformats.org/officeDocument/2006/relationships/printerSettings" Target="../printerSettings/printerSettings15.bin"/><Relationship Id="rId5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.bin"/><Relationship Id="rId3" Type="http://schemas.openxmlformats.org/officeDocument/2006/relationships/printerSettings" Target="../printerSettings/printerSettings20.bin"/><Relationship Id="rId7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6" Type="http://schemas.openxmlformats.org/officeDocument/2006/relationships/printerSettings" Target="../printerSettings/printerSettings23.bin"/><Relationship Id="rId5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3.bin"/><Relationship Id="rId3" Type="http://schemas.openxmlformats.org/officeDocument/2006/relationships/printerSettings" Target="../printerSettings/printerSettings28.bin"/><Relationship Id="rId7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7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printerSettings" Target="../printerSettings/printerSettings39.bin"/><Relationship Id="rId5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3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5" Type="http://schemas.openxmlformats.org/officeDocument/2006/relationships/printerSettings" Target="../printerSettings/printerSettings45.bin"/><Relationship Id="rId4" Type="http://schemas.openxmlformats.org/officeDocument/2006/relationships/printerSettings" Target="../printerSettings/printerSettings4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7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6" Type="http://schemas.openxmlformats.org/officeDocument/2006/relationships/printerSettings" Target="../printerSettings/printerSettings51.bin"/><Relationship Id="rId5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B275-3481-4765-8285-F743FCD86682}">
  <dimension ref="B1:AD71"/>
  <sheetViews>
    <sheetView topLeftCell="A57" zoomScale="85" zoomScaleNormal="85" workbookViewId="0">
      <selection activeCell="F7" sqref="F7"/>
    </sheetView>
  </sheetViews>
  <sheetFormatPr defaultRowHeight="15" x14ac:dyDescent="0.25"/>
  <cols>
    <col min="2" max="2" width="5.42578125" bestFit="1" customWidth="1"/>
    <col min="3" max="3" width="10" bestFit="1" customWidth="1"/>
    <col min="4" max="4" width="45" bestFit="1" customWidth="1"/>
    <col min="5" max="5" width="92.140625" bestFit="1" customWidth="1"/>
  </cols>
  <sheetData>
    <row r="1" spans="2:6" ht="15.75" thickBot="1" x14ac:dyDescent="0.3"/>
    <row r="2" spans="2:6" x14ac:dyDescent="0.25">
      <c r="B2" s="11" t="s">
        <v>418</v>
      </c>
      <c r="C2" s="12" t="s">
        <v>419</v>
      </c>
      <c r="D2" s="12" t="s">
        <v>128</v>
      </c>
      <c r="E2" s="13" t="s">
        <v>420</v>
      </c>
    </row>
    <row r="3" spans="2:6" x14ac:dyDescent="0.25">
      <c r="B3" s="14">
        <v>1</v>
      </c>
      <c r="C3" s="14" t="s">
        <v>8</v>
      </c>
      <c r="D3" s="14" t="s">
        <v>7</v>
      </c>
      <c r="E3" s="14" t="s">
        <v>421</v>
      </c>
    </row>
    <row r="4" spans="2:6" x14ac:dyDescent="0.25">
      <c r="B4" s="7">
        <v>2</v>
      </c>
      <c r="C4" s="7" t="s">
        <v>430</v>
      </c>
      <c r="D4" s="7" t="s">
        <v>432</v>
      </c>
      <c r="E4" s="7" t="s">
        <v>431</v>
      </c>
    </row>
    <row r="5" spans="2:6" x14ac:dyDescent="0.25">
      <c r="B5" s="7">
        <v>3</v>
      </c>
      <c r="C5" s="7" t="s">
        <v>353</v>
      </c>
      <c r="D5" s="7" t="s">
        <v>433</v>
      </c>
      <c r="E5" s="7" t="s">
        <v>434</v>
      </c>
    </row>
    <row r="6" spans="2:6" x14ac:dyDescent="0.25">
      <c r="C6" s="16" t="s">
        <v>498</v>
      </c>
      <c r="D6" s="24">
        <v>45588</v>
      </c>
    </row>
    <row r="7" spans="2:6" x14ac:dyDescent="0.25">
      <c r="C7" s="25" t="s">
        <v>493</v>
      </c>
      <c r="D7" s="24">
        <v>45573</v>
      </c>
      <c r="F7" s="16" t="s">
        <v>548</v>
      </c>
    </row>
    <row r="8" spans="2:6" x14ac:dyDescent="0.25">
      <c r="C8" s="25" t="s">
        <v>497</v>
      </c>
      <c r="D8" s="24">
        <v>45569</v>
      </c>
    </row>
    <row r="9" spans="2:6" x14ac:dyDescent="0.25">
      <c r="B9" s="71" t="s">
        <v>438</v>
      </c>
      <c r="C9" s="71"/>
      <c r="D9" s="71"/>
      <c r="E9" s="71"/>
    </row>
    <row r="10" spans="2:6" x14ac:dyDescent="0.25">
      <c r="B10" s="15" t="s">
        <v>418</v>
      </c>
      <c r="C10" s="15" t="s">
        <v>419</v>
      </c>
      <c r="D10" s="15" t="s">
        <v>128</v>
      </c>
      <c r="E10" s="15" t="s">
        <v>420</v>
      </c>
    </row>
    <row r="11" spans="2:6" x14ac:dyDescent="0.25">
      <c r="B11" s="14">
        <v>1</v>
      </c>
      <c r="C11" s="14" t="s">
        <v>114</v>
      </c>
      <c r="D11" s="14"/>
      <c r="E11" s="14" t="s">
        <v>435</v>
      </c>
    </row>
    <row r="12" spans="2:6" x14ac:dyDescent="0.25">
      <c r="B12" s="14">
        <v>2</v>
      </c>
      <c r="C12" s="14" t="s">
        <v>123</v>
      </c>
      <c r="D12" s="14"/>
      <c r="E12" s="14" t="s">
        <v>436</v>
      </c>
    </row>
    <row r="13" spans="2:6" x14ac:dyDescent="0.25">
      <c r="B13" s="14">
        <v>3</v>
      </c>
      <c r="C13" s="14" t="s">
        <v>437</v>
      </c>
      <c r="D13" s="14"/>
      <c r="E13" s="14" t="s">
        <v>442</v>
      </c>
    </row>
    <row r="14" spans="2:6" x14ac:dyDescent="0.25">
      <c r="B14" s="14">
        <v>4</v>
      </c>
      <c r="C14" s="14" t="s">
        <v>262</v>
      </c>
      <c r="D14" s="14"/>
      <c r="E14" s="14" t="s">
        <v>442</v>
      </c>
    </row>
    <row r="15" spans="2:6" x14ac:dyDescent="0.25">
      <c r="B15" s="14">
        <v>5</v>
      </c>
      <c r="C15" s="14" t="s">
        <v>296</v>
      </c>
      <c r="D15" s="14"/>
      <c r="E15" s="14" t="s">
        <v>436</v>
      </c>
    </row>
    <row r="17" spans="2:9" x14ac:dyDescent="0.25">
      <c r="B17" s="71"/>
      <c r="C17" s="71"/>
      <c r="D17" s="71"/>
      <c r="E17" s="71"/>
    </row>
    <row r="18" spans="2:9" x14ac:dyDescent="0.25">
      <c r="B18" s="15" t="s">
        <v>418</v>
      </c>
      <c r="C18" s="15" t="s">
        <v>419</v>
      </c>
      <c r="D18" s="15" t="s">
        <v>128</v>
      </c>
      <c r="E18" s="15" t="s">
        <v>420</v>
      </c>
    </row>
    <row r="19" spans="2:9" x14ac:dyDescent="0.25">
      <c r="B19" s="14">
        <v>1</v>
      </c>
      <c r="C19" s="14" t="s">
        <v>285</v>
      </c>
      <c r="D19" s="14"/>
      <c r="E19" s="14"/>
    </row>
    <row r="22" spans="2:9" x14ac:dyDescent="0.25">
      <c r="C22" s="18"/>
      <c r="D22" s="14" t="s">
        <v>447</v>
      </c>
      <c r="E22" s="14">
        <v>10000</v>
      </c>
      <c r="F22" s="18"/>
      <c r="G22" s="18"/>
      <c r="H22" s="18"/>
      <c r="I22" s="18"/>
    </row>
    <row r="23" spans="2:9" x14ac:dyDescent="0.25">
      <c r="C23" s="18"/>
      <c r="D23" s="7" t="s">
        <v>307</v>
      </c>
      <c r="E23" s="14">
        <v>500</v>
      </c>
      <c r="F23" s="18"/>
      <c r="G23" s="18"/>
      <c r="H23" s="18"/>
      <c r="I23" s="18"/>
    </row>
    <row r="24" spans="2:9" x14ac:dyDescent="0.25">
      <c r="C24" s="18"/>
      <c r="D24" s="7" t="s">
        <v>307</v>
      </c>
      <c r="E24" s="14">
        <v>500</v>
      </c>
      <c r="F24" s="18"/>
      <c r="G24" s="18"/>
      <c r="H24" s="18"/>
      <c r="I24" s="18"/>
    </row>
    <row r="25" spans="2:9" x14ac:dyDescent="0.25">
      <c r="C25" s="18" t="s">
        <v>457</v>
      </c>
      <c r="D25" s="7" t="s">
        <v>307</v>
      </c>
      <c r="E25" s="14">
        <v>600</v>
      </c>
      <c r="F25" s="18"/>
      <c r="G25" s="18"/>
      <c r="H25" s="18"/>
      <c r="I25" s="18"/>
    </row>
    <row r="26" spans="2:9" x14ac:dyDescent="0.25">
      <c r="C26" s="18"/>
      <c r="D26" s="7" t="s">
        <v>307</v>
      </c>
      <c r="E26" s="14">
        <v>500</v>
      </c>
      <c r="F26" s="18"/>
      <c r="G26" s="18"/>
      <c r="H26" s="18"/>
      <c r="I26" s="18"/>
    </row>
    <row r="27" spans="2:9" x14ac:dyDescent="0.25">
      <c r="C27" s="18"/>
      <c r="D27" s="7" t="s">
        <v>307</v>
      </c>
      <c r="E27" s="14">
        <v>500</v>
      </c>
      <c r="F27" s="18"/>
      <c r="G27" s="18"/>
      <c r="H27" s="18"/>
      <c r="I27" s="18"/>
    </row>
    <row r="28" spans="2:9" x14ac:dyDescent="0.25">
      <c r="C28" s="18"/>
      <c r="D28" s="7" t="s">
        <v>307</v>
      </c>
      <c r="E28" s="14">
        <v>500</v>
      </c>
      <c r="F28" s="18"/>
      <c r="G28" s="18"/>
      <c r="H28" s="18"/>
      <c r="I28" s="18"/>
    </row>
    <row r="29" spans="2:9" x14ac:dyDescent="0.25">
      <c r="C29" s="18"/>
      <c r="D29" s="7" t="s">
        <v>307</v>
      </c>
      <c r="E29" s="14">
        <v>500</v>
      </c>
      <c r="F29" s="18"/>
      <c r="G29" s="18"/>
      <c r="H29" s="18"/>
      <c r="I29" s="18"/>
    </row>
    <row r="30" spans="2:9" x14ac:dyDescent="0.25">
      <c r="C30" t="s">
        <v>203</v>
      </c>
      <c r="D30" s="7" t="s">
        <v>307</v>
      </c>
      <c r="E30" s="14">
        <v>500</v>
      </c>
    </row>
    <row r="31" spans="2:9" x14ac:dyDescent="0.25">
      <c r="C31" t="s">
        <v>87</v>
      </c>
      <c r="D31" s="7" t="s">
        <v>307</v>
      </c>
      <c r="E31" s="14">
        <v>500</v>
      </c>
    </row>
    <row r="32" spans="2:9" x14ac:dyDescent="0.25">
      <c r="C32" t="s">
        <v>458</v>
      </c>
      <c r="D32" s="7" t="s">
        <v>307</v>
      </c>
      <c r="E32" s="14">
        <v>500</v>
      </c>
    </row>
    <row r="33" spans="3:30" x14ac:dyDescent="0.25">
      <c r="C33" t="s">
        <v>89</v>
      </c>
      <c r="E33" s="20">
        <v>1.5</v>
      </c>
    </row>
    <row r="36" spans="3:30" x14ac:dyDescent="0.25">
      <c r="C36" s="17" t="s">
        <v>439</v>
      </c>
    </row>
    <row r="42" spans="3:30" x14ac:dyDescent="0.25">
      <c r="C42" s="17"/>
    </row>
    <row r="43" spans="3:30" x14ac:dyDescent="0.25">
      <c r="D43" t="s">
        <v>474</v>
      </c>
    </row>
    <row r="45" spans="3:30" x14ac:dyDescent="0.25">
      <c r="D45" t="s">
        <v>481</v>
      </c>
    </row>
    <row r="46" spans="3:30" x14ac:dyDescent="0.25">
      <c r="D46" t="s">
        <v>480</v>
      </c>
      <c r="E46" s="23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3:30" x14ac:dyDescent="0.25"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3:30" x14ac:dyDescent="0.25">
      <c r="D48" t="s">
        <v>470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4:30" x14ac:dyDescent="0.25">
      <c r="D49" t="s">
        <v>475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4:30" x14ac:dyDescent="0.25">
      <c r="D50" t="s">
        <v>476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4:30" x14ac:dyDescent="0.25">
      <c r="D51" t="s">
        <v>477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4:30" x14ac:dyDescent="0.25">
      <c r="D52" t="s">
        <v>478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4:30" x14ac:dyDescent="0.25">
      <c r="D53" t="s">
        <v>479</v>
      </c>
    </row>
    <row r="55" spans="4:30" x14ac:dyDescent="0.25">
      <c r="D55" t="s">
        <v>488</v>
      </c>
    </row>
    <row r="56" spans="4:30" x14ac:dyDescent="0.25">
      <c r="D56" s="22" t="s">
        <v>482</v>
      </c>
    </row>
    <row r="57" spans="4:30" x14ac:dyDescent="0.25">
      <c r="D57" s="22" t="s">
        <v>483</v>
      </c>
    </row>
    <row r="58" spans="4:30" x14ac:dyDescent="0.25">
      <c r="D58" s="22" t="s">
        <v>484</v>
      </c>
    </row>
    <row r="59" spans="4:30" x14ac:dyDescent="0.25">
      <c r="D59" s="22" t="s">
        <v>485</v>
      </c>
    </row>
    <row r="60" spans="4:30" x14ac:dyDescent="0.25">
      <c r="D60" s="22" t="s">
        <v>486</v>
      </c>
    </row>
    <row r="61" spans="4:30" x14ac:dyDescent="0.25">
      <c r="D61" s="22" t="s">
        <v>487</v>
      </c>
    </row>
    <row r="63" spans="4:30" x14ac:dyDescent="0.25">
      <c r="D63" t="s">
        <v>471</v>
      </c>
    </row>
    <row r="64" spans="4:30" x14ac:dyDescent="0.25">
      <c r="D64" t="s">
        <v>472</v>
      </c>
    </row>
    <row r="65" spans="4:4" x14ac:dyDescent="0.25">
      <c r="D65" t="s">
        <v>489</v>
      </c>
    </row>
    <row r="66" spans="4:4" x14ac:dyDescent="0.25">
      <c r="D66" t="s">
        <v>490</v>
      </c>
    </row>
    <row r="68" spans="4:4" x14ac:dyDescent="0.25">
      <c r="D68" t="s">
        <v>473</v>
      </c>
    </row>
    <row r="69" spans="4:4" x14ac:dyDescent="0.25">
      <c r="D69" t="s">
        <v>472</v>
      </c>
    </row>
    <row r="70" spans="4:4" x14ac:dyDescent="0.25">
      <c r="D70" t="s">
        <v>491</v>
      </c>
    </row>
    <row r="71" spans="4:4" x14ac:dyDescent="0.25">
      <c r="D71" t="s">
        <v>492</v>
      </c>
    </row>
  </sheetData>
  <protectedRanges>
    <protectedRange sqref="C3" name="Range1_1_1_1"/>
    <protectedRange sqref="D3" name="Range1_1_1_1_1"/>
  </protectedRanges>
  <customSheetViews>
    <customSheetView guid="{A1637ED3-F38C-4E77-A8BB-011227AA9694}">
      <selection activeCell="D20" sqref="D20"/>
      <pageMargins left="0.7" right="0.7" top="0.75" bottom="0.75" header="0.3" footer="0.3"/>
      <pageSetup orientation="portrait" horizontalDpi="300" verticalDpi="300" r:id="rId1"/>
    </customSheetView>
    <customSheetView guid="{C5352930-F296-4056-ADED-A54F12C72A5E}">
      <selection activeCell="D3" sqref="D3"/>
      <pageMargins left="0.7" right="0.7" top="0.75" bottom="0.75" header="0.3" footer="0.3"/>
      <pageSetup orientation="portrait" horizontalDpi="300" verticalDpi="300" r:id="rId2"/>
    </customSheetView>
    <customSheetView guid="{7595FEC4-A35A-45A8-ABFF-30CA7F2E3DDB}" topLeftCell="A7">
      <selection activeCell="F7" sqref="F7"/>
      <pageMargins left="0.7" right="0.7" top="0.75" bottom="0.75" header="0.3" footer="0.3"/>
      <pageSetup orientation="portrait" horizontalDpi="300" verticalDpi="300" r:id="rId3"/>
    </customSheetView>
  </customSheetViews>
  <mergeCells count="2">
    <mergeCell ref="B9:E9"/>
    <mergeCell ref="B17:E17"/>
  </mergeCells>
  <pageMargins left="0.7" right="0.7" top="0.75" bottom="0.75" header="0.3" footer="0.3"/>
  <pageSetup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8D9F-3620-4784-981B-8DBAFAC8C52C}">
  <dimension ref="A1:I36"/>
  <sheetViews>
    <sheetView topLeftCell="A25" zoomScaleNormal="100" workbookViewId="0">
      <selection activeCell="H40" sqref="H40"/>
    </sheetView>
  </sheetViews>
  <sheetFormatPr defaultRowHeight="15" x14ac:dyDescent="0.25"/>
  <cols>
    <col min="1" max="1" width="25.5703125" bestFit="1" customWidth="1"/>
    <col min="2" max="2" width="25.140625" bestFit="1" customWidth="1"/>
    <col min="3" max="3" width="9.140625" style="16"/>
    <col min="4" max="4" width="27.5703125" bestFit="1" customWidth="1"/>
    <col min="5" max="5" width="25.140625" bestFit="1" customWidth="1"/>
    <col min="8" max="8" width="43" customWidth="1"/>
  </cols>
  <sheetData>
    <row r="1" spans="1:9" ht="27.75" customHeight="1" thickBot="1" x14ac:dyDescent="0.35">
      <c r="A1" s="72" t="s">
        <v>510</v>
      </c>
      <c r="B1" s="73"/>
      <c r="C1" s="32"/>
      <c r="D1" s="74" t="s">
        <v>515</v>
      </c>
      <c r="E1" s="75"/>
    </row>
    <row r="2" spans="1:9" ht="15.75" thickBot="1" x14ac:dyDescent="0.3">
      <c r="A2" s="52" t="s">
        <v>507</v>
      </c>
      <c r="B2" s="57" t="s">
        <v>509</v>
      </c>
      <c r="D2" s="52" t="s">
        <v>507</v>
      </c>
      <c r="E2" s="57" t="s">
        <v>509</v>
      </c>
      <c r="H2" t="s">
        <v>516</v>
      </c>
    </row>
    <row r="3" spans="1:9" x14ac:dyDescent="0.25">
      <c r="A3" s="53" t="s">
        <v>307</v>
      </c>
      <c r="B3" s="66">
        <v>32</v>
      </c>
      <c r="D3" s="53" t="s">
        <v>307</v>
      </c>
      <c r="E3" s="66">
        <v>31</v>
      </c>
    </row>
    <row r="4" spans="1:9" x14ac:dyDescent="0.25">
      <c r="A4" s="54" t="s">
        <v>117</v>
      </c>
      <c r="B4" s="67">
        <v>91</v>
      </c>
      <c r="D4" s="54" t="s">
        <v>117</v>
      </c>
      <c r="E4" s="67">
        <v>86</v>
      </c>
      <c r="H4" s="34" t="s">
        <v>517</v>
      </c>
      <c r="I4" s="34">
        <f>SUM(I5:I8)</f>
        <v>141</v>
      </c>
    </row>
    <row r="5" spans="1:9" x14ac:dyDescent="0.25">
      <c r="A5" s="54" t="s">
        <v>447</v>
      </c>
      <c r="B5" s="67">
        <v>14</v>
      </c>
      <c r="D5" s="54" t="s">
        <v>447</v>
      </c>
      <c r="E5" s="67">
        <v>14</v>
      </c>
      <c r="H5" s="29" t="s">
        <v>521</v>
      </c>
      <c r="I5">
        <f>GETPIVOTDATA("Cable Operator ID",$A$2,"R-Soft/On-Net","CNMS ON-Net Professional")</f>
        <v>32</v>
      </c>
    </row>
    <row r="6" spans="1:9" ht="15.75" thickBot="1" x14ac:dyDescent="0.3">
      <c r="A6" s="55" t="s">
        <v>549</v>
      </c>
      <c r="B6" s="67">
        <v>4</v>
      </c>
      <c r="C6" s="33"/>
      <c r="D6" s="54" t="s">
        <v>549</v>
      </c>
      <c r="E6" s="67">
        <v>4</v>
      </c>
      <c r="H6" s="29" t="s">
        <v>117</v>
      </c>
      <c r="I6">
        <f>GETPIVOTDATA("Cable Operator ID",$A$2,"R-Soft/On-Net","CNMS ON-Net Standard")</f>
        <v>91</v>
      </c>
    </row>
    <row r="7" spans="1:9" ht="15.75" thickBot="1" x14ac:dyDescent="0.3">
      <c r="A7" s="56" t="s">
        <v>508</v>
      </c>
      <c r="B7" s="68">
        <v>141</v>
      </c>
      <c r="D7" s="55" t="s">
        <v>550</v>
      </c>
      <c r="E7" s="67">
        <v>1</v>
      </c>
      <c r="H7" s="29" t="s">
        <v>447</v>
      </c>
      <c r="I7">
        <f>GETPIVOTDATA("Cable Operator ID",$A$2,"R-Soft/On-Net","R-Soft SMS")</f>
        <v>14</v>
      </c>
    </row>
    <row r="8" spans="1:9" ht="15.75" thickBot="1" x14ac:dyDescent="0.3">
      <c r="D8" s="56" t="s">
        <v>508</v>
      </c>
      <c r="E8" s="68">
        <v>136</v>
      </c>
      <c r="H8" s="29" t="s">
        <v>544</v>
      </c>
      <c r="I8">
        <f>GETPIVOTDATA("Cable Operator ID",$A$2,"R-Soft/On-Net","NetManazer")</f>
        <v>4</v>
      </c>
    </row>
    <row r="9" spans="1:9" ht="15.75" thickBot="1" x14ac:dyDescent="0.3">
      <c r="A9" s="29"/>
      <c r="D9" s="27"/>
      <c r="E9" s="28"/>
      <c r="H9" s="29" t="s">
        <v>550</v>
      </c>
      <c r="I9" t="e">
        <f>GETPIVOTDATA("Cable Operator ID",$A$2,"R-Soft/On-Net","R-Soft IPTV")</f>
        <v>#REF!</v>
      </c>
    </row>
    <row r="10" spans="1:9" ht="15.75" thickBot="1" x14ac:dyDescent="0.3">
      <c r="A10" s="58" t="s">
        <v>511</v>
      </c>
      <c r="B10" s="59" t="s">
        <v>556</v>
      </c>
      <c r="D10" s="61" t="s">
        <v>511</v>
      </c>
      <c r="E10" s="62" t="s">
        <v>556</v>
      </c>
    </row>
    <row r="11" spans="1:9" ht="15.75" thickBot="1" x14ac:dyDescent="0.3">
      <c r="A11" s="30"/>
      <c r="B11" s="31"/>
      <c r="D11" s="30"/>
      <c r="E11" s="31"/>
      <c r="H11" s="34" t="s">
        <v>518</v>
      </c>
      <c r="I11" s="34">
        <f>SUM(I12:I15)</f>
        <v>135</v>
      </c>
    </row>
    <row r="12" spans="1:9" ht="15.75" thickBot="1" x14ac:dyDescent="0.3">
      <c r="A12" s="52" t="s">
        <v>507</v>
      </c>
      <c r="B12" s="57" t="s">
        <v>509</v>
      </c>
      <c r="D12" s="52" t="s">
        <v>507</v>
      </c>
      <c r="E12" s="57" t="s">
        <v>509</v>
      </c>
      <c r="H12" s="29" t="s">
        <v>521</v>
      </c>
      <c r="I12">
        <f>GETPIVOTDATA("Cable Operator ID",$D$2,"R-Soft/On-Net","CNMS ON-Net Professional")</f>
        <v>31</v>
      </c>
    </row>
    <row r="13" spans="1:9" ht="15.75" thickBot="1" x14ac:dyDescent="0.3">
      <c r="A13" s="56" t="s">
        <v>307</v>
      </c>
      <c r="B13" s="66">
        <v>32</v>
      </c>
      <c r="D13" s="56" t="s">
        <v>307</v>
      </c>
      <c r="E13" s="57">
        <v>31</v>
      </c>
      <c r="H13" s="29" t="s">
        <v>117</v>
      </c>
      <c r="I13">
        <f>GETPIVOTDATA("Cable Operator ID",$D$2,"R-Soft/On-Net","CNMS ON-Net Standard")</f>
        <v>86</v>
      </c>
    </row>
    <row r="14" spans="1:9" x14ac:dyDescent="0.25">
      <c r="A14" s="60" t="s">
        <v>117</v>
      </c>
      <c r="B14" s="67">
        <v>91</v>
      </c>
      <c r="D14" s="63" t="s">
        <v>117</v>
      </c>
      <c r="E14" s="69">
        <v>86</v>
      </c>
      <c r="H14" s="29" t="s">
        <v>447</v>
      </c>
      <c r="I14">
        <f>GETPIVOTDATA("Cable Operator ID",$D$2,"R-Soft/On-Net","R-Soft SMS")</f>
        <v>14</v>
      </c>
    </row>
    <row r="15" spans="1:9" x14ac:dyDescent="0.25">
      <c r="A15" s="60" t="s">
        <v>447</v>
      </c>
      <c r="B15" s="67">
        <v>14</v>
      </c>
      <c r="D15" s="63" t="s">
        <v>447</v>
      </c>
      <c r="E15" s="69">
        <v>14</v>
      </c>
      <c r="H15" s="29" t="s">
        <v>544</v>
      </c>
      <c r="I15">
        <f>GETPIVOTDATA("Cable Operator ID",$D$2,"R-Soft/On-Net","NetManazer")</f>
        <v>4</v>
      </c>
    </row>
    <row r="16" spans="1:9" ht="15.75" thickBot="1" x14ac:dyDescent="0.3">
      <c r="A16" s="60" t="s">
        <v>549</v>
      </c>
      <c r="B16" s="67">
        <v>4</v>
      </c>
      <c r="D16" s="63" t="s">
        <v>549</v>
      </c>
      <c r="E16" s="69">
        <v>4</v>
      </c>
      <c r="H16" s="29" t="s">
        <v>550</v>
      </c>
      <c r="I16">
        <f>GETPIVOTDATA("Cable Operator ID",$D$2,"R-Soft/On-Net","R-Soft IPTV")</f>
        <v>1</v>
      </c>
    </row>
    <row r="17" spans="1:9" ht="15.75" thickBot="1" x14ac:dyDescent="0.3">
      <c r="A17" s="56" t="s">
        <v>508</v>
      </c>
      <c r="B17" s="68">
        <v>141</v>
      </c>
      <c r="D17" s="51" t="s">
        <v>550</v>
      </c>
      <c r="E17" s="69">
        <v>1</v>
      </c>
    </row>
    <row r="18" spans="1:9" x14ac:dyDescent="0.25">
      <c r="D18" s="51" t="s">
        <v>661</v>
      </c>
      <c r="E18" s="69">
        <v>1</v>
      </c>
      <c r="H18" s="35" t="s">
        <v>519</v>
      </c>
      <c r="I18" s="34">
        <v>0</v>
      </c>
    </row>
    <row r="19" spans="1:9" x14ac:dyDescent="0.25">
      <c r="D19" s="51" t="s">
        <v>508</v>
      </c>
      <c r="E19" s="70">
        <v>136</v>
      </c>
      <c r="H19" s="36"/>
    </row>
    <row r="20" spans="1:9" x14ac:dyDescent="0.25">
      <c r="H20" s="36"/>
    </row>
    <row r="21" spans="1:9" x14ac:dyDescent="0.25">
      <c r="H21" s="37"/>
    </row>
    <row r="22" spans="1:9" x14ac:dyDescent="0.25">
      <c r="A22" s="39" t="s">
        <v>192</v>
      </c>
      <c r="B22" t="s">
        <v>542</v>
      </c>
      <c r="H22" s="35" t="s">
        <v>520</v>
      </c>
      <c r="I22" s="34">
        <v>0</v>
      </c>
    </row>
    <row r="23" spans="1:9" x14ac:dyDescent="0.25">
      <c r="A23" s="39" t="s">
        <v>425</v>
      </c>
      <c r="B23" t="s">
        <v>542</v>
      </c>
      <c r="H23" s="36" t="s">
        <v>635</v>
      </c>
      <c r="I23">
        <v>0</v>
      </c>
    </row>
    <row r="24" spans="1:9" x14ac:dyDescent="0.25">
      <c r="D24" s="42" t="s">
        <v>329</v>
      </c>
      <c r="E24" t="s">
        <v>551</v>
      </c>
      <c r="H24" s="36"/>
    </row>
    <row r="25" spans="1:9" x14ac:dyDescent="0.25">
      <c r="D25" s="42" t="s">
        <v>499</v>
      </c>
      <c r="H25" s="36"/>
    </row>
    <row r="26" spans="1:9" x14ac:dyDescent="0.25">
      <c r="A26" s="40" t="s">
        <v>541</v>
      </c>
      <c r="B26">
        <v>500</v>
      </c>
      <c r="H26" s="36"/>
    </row>
    <row r="27" spans="1:9" x14ac:dyDescent="0.25">
      <c r="A27" s="40" t="s">
        <v>543</v>
      </c>
      <c r="B27">
        <v>500</v>
      </c>
    </row>
    <row r="28" spans="1:9" x14ac:dyDescent="0.25">
      <c r="A28" t="s">
        <v>611</v>
      </c>
      <c r="B28">
        <v>500</v>
      </c>
      <c r="H28" s="35" t="s">
        <v>566</v>
      </c>
      <c r="I28" s="34">
        <v>6</v>
      </c>
    </row>
    <row r="29" spans="1:9" x14ac:dyDescent="0.25">
      <c r="H29" s="36" t="s">
        <v>567</v>
      </c>
      <c r="I29">
        <v>5</v>
      </c>
    </row>
    <row r="30" spans="1:9" x14ac:dyDescent="0.25">
      <c r="H30" s="36" t="s">
        <v>167</v>
      </c>
      <c r="I30">
        <v>1000</v>
      </c>
    </row>
    <row r="31" spans="1:9" x14ac:dyDescent="0.25">
      <c r="H31" s="36" t="s">
        <v>422</v>
      </c>
      <c r="I31">
        <v>1000</v>
      </c>
    </row>
    <row r="32" spans="1:9" x14ac:dyDescent="0.25">
      <c r="H32" s="36" t="s">
        <v>59</v>
      </c>
      <c r="I32">
        <v>1000</v>
      </c>
    </row>
    <row r="33" spans="8:9" x14ac:dyDescent="0.25">
      <c r="H33" t="s">
        <v>188</v>
      </c>
      <c r="I33">
        <v>5000</v>
      </c>
    </row>
    <row r="35" spans="8:9" x14ac:dyDescent="0.25">
      <c r="H35" s="36" t="s">
        <v>1070</v>
      </c>
      <c r="I35">
        <v>0</v>
      </c>
    </row>
    <row r="36" spans="8:9" x14ac:dyDescent="0.25">
      <c r="H36" s="36"/>
    </row>
  </sheetData>
  <mergeCells count="2">
    <mergeCell ref="A1:B1"/>
    <mergeCell ref="D1:E1"/>
  </mergeCells>
  <pageMargins left="0.7" right="0.7" top="0.75" bottom="0.75" header="0.3" footer="0.3"/>
  <pageSetup paperSize="9" orientation="portrait" verticalDpi="3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586D-CAFF-4BAB-A8AB-AD9E9A90D7D4}">
  <dimension ref="A1:Q3"/>
  <sheetViews>
    <sheetView workbookViewId="0">
      <selection activeCell="L9" sqref="L9"/>
    </sheetView>
  </sheetViews>
  <sheetFormatPr defaultRowHeight="15" x14ac:dyDescent="0.25"/>
  <cols>
    <col min="2" max="2" width="15.7109375" bestFit="1" customWidth="1"/>
    <col min="4" max="4" width="17.5703125" bestFit="1" customWidth="1"/>
    <col min="5" max="5" width="10.140625" bestFit="1" customWidth="1"/>
    <col min="6" max="6" width="10.140625" customWidth="1"/>
  </cols>
  <sheetData>
    <row r="1" spans="1:17" ht="63" x14ac:dyDescent="0.25">
      <c r="A1" s="3" t="s">
        <v>394</v>
      </c>
      <c r="B1" s="3" t="s">
        <v>363</v>
      </c>
      <c r="C1" s="3" t="s">
        <v>184</v>
      </c>
      <c r="D1" s="3" t="s">
        <v>791</v>
      </c>
      <c r="E1" s="3" t="s">
        <v>364</v>
      </c>
      <c r="F1" s="3" t="s">
        <v>796</v>
      </c>
      <c r="G1" s="3" t="s">
        <v>1</v>
      </c>
      <c r="H1" s="3" t="s">
        <v>2</v>
      </c>
      <c r="I1" s="3" t="s">
        <v>182</v>
      </c>
      <c r="J1" s="3" t="s">
        <v>201</v>
      </c>
      <c r="K1" s="3" t="s">
        <v>181</v>
      </c>
      <c r="L1" s="3" t="s">
        <v>555</v>
      </c>
      <c r="M1" s="3" t="s">
        <v>130</v>
      </c>
      <c r="N1" s="3" t="s">
        <v>264</v>
      </c>
      <c r="O1" s="3" t="s">
        <v>263</v>
      </c>
      <c r="P1" s="3" t="s">
        <v>448</v>
      </c>
      <c r="Q1" s="3" t="s">
        <v>449</v>
      </c>
    </row>
    <row r="2" spans="1:17" x14ac:dyDescent="0.25">
      <c r="A2" s="7">
        <v>1</v>
      </c>
      <c r="B2" s="48" t="s">
        <v>661</v>
      </c>
      <c r="C2" s="38" t="s">
        <v>3</v>
      </c>
      <c r="D2" s="38" t="s">
        <v>793</v>
      </c>
      <c r="E2" s="38" t="s">
        <v>794</v>
      </c>
      <c r="F2" s="38" t="s">
        <v>797</v>
      </c>
      <c r="G2" s="38" t="s">
        <v>798</v>
      </c>
      <c r="H2" s="7" t="s">
        <v>4</v>
      </c>
      <c r="I2" s="64">
        <f>F2*G2</f>
        <v>2000</v>
      </c>
      <c r="J2" s="7">
        <v>0</v>
      </c>
      <c r="K2" s="64">
        <f>I2-J2</f>
        <v>2000</v>
      </c>
      <c r="L2" s="64">
        <f>K2*18%</f>
        <v>360</v>
      </c>
      <c r="M2" s="2">
        <f>SUM(K2:L2)</f>
        <v>2360</v>
      </c>
      <c r="N2" s="7">
        <v>0</v>
      </c>
      <c r="O2" s="5">
        <f>M2+N2</f>
        <v>2360</v>
      </c>
      <c r="P2" s="4">
        <v>2360</v>
      </c>
      <c r="Q2" s="2">
        <f>O2-P2</f>
        <v>0</v>
      </c>
    </row>
    <row r="3" spans="1:17" x14ac:dyDescent="0.25">
      <c r="A3" s="7">
        <v>2</v>
      </c>
      <c r="B3" s="48" t="s">
        <v>792</v>
      </c>
      <c r="C3" s="38" t="s">
        <v>3</v>
      </c>
      <c r="D3" s="38" t="s">
        <v>793</v>
      </c>
      <c r="E3" s="38" t="s">
        <v>795</v>
      </c>
      <c r="F3" s="38" t="s">
        <v>797</v>
      </c>
      <c r="G3" s="38" t="s">
        <v>799</v>
      </c>
      <c r="H3" s="7" t="s">
        <v>4</v>
      </c>
      <c r="I3" s="64">
        <f t="shared" ref="I3" si="0">F3*G3</f>
        <v>1500</v>
      </c>
      <c r="J3" s="7">
        <v>0</v>
      </c>
      <c r="K3" s="64">
        <f t="shared" ref="K3" si="1">I3-J3</f>
        <v>1500</v>
      </c>
      <c r="L3" s="64" t="s">
        <v>926</v>
      </c>
      <c r="M3" s="2">
        <f t="shared" ref="M3" si="2">SUM(K3:L3)</f>
        <v>1500</v>
      </c>
      <c r="N3" s="7">
        <v>1500</v>
      </c>
      <c r="O3" s="5">
        <f t="shared" ref="O3" si="3">M3+N3</f>
        <v>3000</v>
      </c>
      <c r="P3" s="4">
        <v>3000</v>
      </c>
      <c r="Q3" s="2">
        <f t="shared" ref="Q3" si="4">O3-P3</f>
        <v>0</v>
      </c>
    </row>
  </sheetData>
  <protectedRanges>
    <protectedRange sqref="A1:Q1" name="Range1_1_1_1_1_4"/>
  </protectedRange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7F39-6B41-45A8-9A51-61E87EB5A5A1}">
  <dimension ref="A1:X143"/>
  <sheetViews>
    <sheetView tabSelected="1" topLeftCell="G129" workbookViewId="0">
      <selection activeCell="R144" sqref="R144"/>
    </sheetView>
  </sheetViews>
  <sheetFormatPr defaultRowHeight="15" x14ac:dyDescent="0.25"/>
  <cols>
    <col min="3" max="3" width="7.85546875" hidden="1" customWidth="1"/>
    <col min="4" max="4" width="10.140625" hidden="1" customWidth="1"/>
    <col min="5" max="5" width="9.85546875" hidden="1" customWidth="1"/>
    <col min="6" max="6" width="16.85546875" hidden="1" customWidth="1"/>
    <col min="13" max="13" width="10.5703125" bestFit="1" customWidth="1"/>
    <col min="15" max="15" width="13.5703125" bestFit="1" customWidth="1"/>
    <col min="17" max="17" width="13.5703125" bestFit="1" customWidth="1"/>
    <col min="19" max="21" width="9.5703125" bestFit="1" customWidth="1"/>
    <col min="22" max="22" width="13.42578125" bestFit="1" customWidth="1"/>
    <col min="23" max="23" width="9.5703125" bestFit="1" customWidth="1"/>
  </cols>
  <sheetData>
    <row r="1" spans="1:24" ht="63" x14ac:dyDescent="0.25">
      <c r="A1" s="3" t="s">
        <v>394</v>
      </c>
      <c r="B1" s="3" t="s">
        <v>283</v>
      </c>
      <c r="C1" s="3" t="s">
        <v>127</v>
      </c>
      <c r="D1" s="3" t="s">
        <v>185</v>
      </c>
      <c r="E1" s="3" t="s">
        <v>128</v>
      </c>
      <c r="F1" s="3" t="s">
        <v>0</v>
      </c>
      <c r="G1" s="3" t="s">
        <v>184</v>
      </c>
      <c r="H1" s="3" t="s">
        <v>183</v>
      </c>
      <c r="I1" s="3" t="s">
        <v>194</v>
      </c>
      <c r="J1" s="3" t="s">
        <v>129</v>
      </c>
      <c r="K1" s="3" t="s">
        <v>1</v>
      </c>
      <c r="L1" s="3" t="s">
        <v>2</v>
      </c>
      <c r="M1" s="3" t="s">
        <v>182</v>
      </c>
      <c r="N1" s="3" t="s">
        <v>201</v>
      </c>
      <c r="O1" s="3" t="s">
        <v>181</v>
      </c>
      <c r="P1" s="3" t="s">
        <v>555</v>
      </c>
      <c r="Q1" s="3" t="s">
        <v>130</v>
      </c>
      <c r="R1" s="3" t="s">
        <v>264</v>
      </c>
      <c r="S1" s="3" t="s">
        <v>263</v>
      </c>
      <c r="T1" s="3" t="s">
        <v>448</v>
      </c>
      <c r="U1" s="3" t="s">
        <v>449</v>
      </c>
      <c r="V1" s="3" t="s">
        <v>662</v>
      </c>
      <c r="W1" s="3" t="s">
        <v>450</v>
      </c>
      <c r="X1" s="3" t="s">
        <v>511</v>
      </c>
    </row>
    <row r="2" spans="1:24" x14ac:dyDescent="0.25">
      <c r="A2" s="7">
        <v>1</v>
      </c>
      <c r="B2" s="48" t="s">
        <v>330</v>
      </c>
      <c r="C2" s="38" t="s">
        <v>331</v>
      </c>
      <c r="D2" s="38" t="s">
        <v>332</v>
      </c>
      <c r="E2" s="38" t="s">
        <v>333</v>
      </c>
      <c r="F2" s="38" t="s">
        <v>237</v>
      </c>
      <c r="G2" s="38" t="s">
        <v>3</v>
      </c>
      <c r="H2" s="7" t="s">
        <v>117</v>
      </c>
      <c r="I2" s="7">
        <v>10000</v>
      </c>
      <c r="J2" s="7">
        <v>10000</v>
      </c>
      <c r="K2" s="7">
        <v>0.85</v>
      </c>
      <c r="L2" s="7" t="s">
        <v>4</v>
      </c>
      <c r="M2" s="2">
        <f t="shared" ref="M2:M33" si="0">J2*K2</f>
        <v>8500</v>
      </c>
      <c r="N2" s="7">
        <v>0</v>
      </c>
      <c r="O2" s="5">
        <f t="shared" ref="O2:O65" si="1">M2-N2</f>
        <v>8500</v>
      </c>
      <c r="P2" s="4">
        <f>O2*18%</f>
        <v>1530</v>
      </c>
      <c r="Q2" s="2">
        <f>SUM(O2:P2)</f>
        <v>10030</v>
      </c>
      <c r="R2" s="7">
        <v>10030</v>
      </c>
      <c r="S2" s="49">
        <f>Q2+R2</f>
        <v>20060</v>
      </c>
      <c r="T2" s="49">
        <v>20060</v>
      </c>
      <c r="U2" s="4">
        <f>S2-T2</f>
        <v>0</v>
      </c>
      <c r="V2" s="49">
        <v>20060</v>
      </c>
      <c r="W2" s="49">
        <f>ROUND(S2-V2,2)</f>
        <v>0</v>
      </c>
      <c r="X2" s="7"/>
    </row>
    <row r="3" spans="1:24" x14ac:dyDescent="0.25">
      <c r="A3" s="7">
        <v>2</v>
      </c>
      <c r="B3" s="48" t="s">
        <v>193</v>
      </c>
      <c r="C3" s="38" t="s">
        <v>412</v>
      </c>
      <c r="D3" s="38" t="s">
        <v>284</v>
      </c>
      <c r="E3" s="38" t="s">
        <v>413</v>
      </c>
      <c r="F3" s="38" t="s">
        <v>256</v>
      </c>
      <c r="G3" s="38" t="s">
        <v>3</v>
      </c>
      <c r="H3" s="7" t="s">
        <v>447</v>
      </c>
      <c r="I3" s="7">
        <v>10000</v>
      </c>
      <c r="J3" s="7">
        <v>10000</v>
      </c>
      <c r="K3" s="7">
        <v>1</v>
      </c>
      <c r="L3" s="7" t="s">
        <v>4</v>
      </c>
      <c r="M3" s="2">
        <f t="shared" si="0"/>
        <v>10000</v>
      </c>
      <c r="N3" s="7">
        <v>0</v>
      </c>
      <c r="O3" s="5">
        <f t="shared" si="1"/>
        <v>10000</v>
      </c>
      <c r="P3" s="4">
        <f t="shared" ref="P3:P66" si="2">O3*18%</f>
        <v>1800</v>
      </c>
      <c r="Q3" s="2">
        <f t="shared" ref="Q3:Q66" si="3">SUM(O3:P3)</f>
        <v>11800</v>
      </c>
      <c r="R3" s="7">
        <v>-10000</v>
      </c>
      <c r="S3" s="49">
        <f t="shared" ref="S3:S66" si="4">Q3+R3</f>
        <v>1800</v>
      </c>
      <c r="T3" s="49">
        <v>1800</v>
      </c>
      <c r="U3" s="4">
        <f t="shared" ref="U3:U66" si="5">S3-T3</f>
        <v>0</v>
      </c>
      <c r="V3" s="49">
        <v>1800</v>
      </c>
      <c r="W3" s="49">
        <f t="shared" ref="W3:W66" si="6">ROUND(S3-V3,2)</f>
        <v>0</v>
      </c>
      <c r="X3" s="46"/>
    </row>
    <row r="4" spans="1:24" x14ac:dyDescent="0.25">
      <c r="A4" s="7">
        <v>3</v>
      </c>
      <c r="B4" s="48" t="s">
        <v>190</v>
      </c>
      <c r="C4" s="38" t="s">
        <v>195</v>
      </c>
      <c r="D4" s="38" t="s">
        <v>195</v>
      </c>
      <c r="E4" s="38" t="s">
        <v>189</v>
      </c>
      <c r="F4" s="38" t="s">
        <v>237</v>
      </c>
      <c r="G4" s="38" t="s">
        <v>3</v>
      </c>
      <c r="H4" s="7" t="s">
        <v>447</v>
      </c>
      <c r="I4" s="7">
        <v>10000</v>
      </c>
      <c r="J4" s="7">
        <v>10000</v>
      </c>
      <c r="K4" s="7">
        <v>1</v>
      </c>
      <c r="L4" s="7" t="s">
        <v>4</v>
      </c>
      <c r="M4" s="2">
        <f t="shared" si="0"/>
        <v>10000</v>
      </c>
      <c r="N4" s="7">
        <v>0</v>
      </c>
      <c r="O4" s="5">
        <f t="shared" si="1"/>
        <v>10000</v>
      </c>
      <c r="P4" s="4">
        <f t="shared" si="2"/>
        <v>1800</v>
      </c>
      <c r="Q4" s="2">
        <f t="shared" si="3"/>
        <v>11800</v>
      </c>
      <c r="R4" s="7">
        <v>0.04</v>
      </c>
      <c r="S4" s="49">
        <f t="shared" si="4"/>
        <v>11800.04</v>
      </c>
      <c r="T4" s="49">
        <v>11800.04</v>
      </c>
      <c r="U4" s="4">
        <f t="shared" si="5"/>
        <v>0</v>
      </c>
      <c r="V4" s="49">
        <v>11800.04</v>
      </c>
      <c r="W4" s="49">
        <f t="shared" si="6"/>
        <v>0</v>
      </c>
      <c r="X4" s="46"/>
    </row>
    <row r="5" spans="1:24" x14ac:dyDescent="0.25">
      <c r="A5" s="7">
        <v>4</v>
      </c>
      <c r="B5" s="48" t="s">
        <v>397</v>
      </c>
      <c r="C5" s="38" t="s">
        <v>398</v>
      </c>
      <c r="D5" s="38" t="s">
        <v>399</v>
      </c>
      <c r="E5" s="38" t="s">
        <v>400</v>
      </c>
      <c r="F5" s="38" t="s">
        <v>237</v>
      </c>
      <c r="G5" s="38" t="s">
        <v>3</v>
      </c>
      <c r="H5" s="7" t="s">
        <v>447</v>
      </c>
      <c r="I5" s="7">
        <v>10000</v>
      </c>
      <c r="J5" s="7">
        <v>10000</v>
      </c>
      <c r="K5" s="7">
        <v>1</v>
      </c>
      <c r="L5" s="7" t="s">
        <v>4</v>
      </c>
      <c r="M5" s="2">
        <f t="shared" si="0"/>
        <v>10000</v>
      </c>
      <c r="N5" s="7">
        <v>0</v>
      </c>
      <c r="O5" s="5">
        <f t="shared" si="1"/>
        <v>10000</v>
      </c>
      <c r="P5" s="4">
        <f t="shared" si="2"/>
        <v>1800</v>
      </c>
      <c r="Q5" s="2">
        <f t="shared" si="3"/>
        <v>11800</v>
      </c>
      <c r="R5" s="7">
        <v>0</v>
      </c>
      <c r="S5" s="49">
        <f t="shared" si="4"/>
        <v>11800</v>
      </c>
      <c r="T5" s="49">
        <v>11800</v>
      </c>
      <c r="U5" s="4">
        <f t="shared" si="5"/>
        <v>0</v>
      </c>
      <c r="V5" s="49">
        <v>11800</v>
      </c>
      <c r="W5" s="49">
        <f t="shared" si="6"/>
        <v>0</v>
      </c>
      <c r="X5" s="46"/>
    </row>
    <row r="6" spans="1:24" x14ac:dyDescent="0.25">
      <c r="A6" s="7">
        <v>5</v>
      </c>
      <c r="B6" s="48" t="s">
        <v>267</v>
      </c>
      <c r="C6" s="38" t="s">
        <v>268</v>
      </c>
      <c r="D6" s="38" t="s">
        <v>268</v>
      </c>
      <c r="E6" s="38" t="s">
        <v>334</v>
      </c>
      <c r="F6" s="38" t="s">
        <v>245</v>
      </c>
      <c r="G6" s="38" t="s">
        <v>3</v>
      </c>
      <c r="H6" s="7" t="s">
        <v>447</v>
      </c>
      <c r="I6" s="7">
        <v>10000</v>
      </c>
      <c r="J6" s="7">
        <v>10000</v>
      </c>
      <c r="K6" s="7">
        <v>1</v>
      </c>
      <c r="L6" s="7" t="s">
        <v>4</v>
      </c>
      <c r="M6" s="2">
        <f t="shared" si="0"/>
        <v>10000</v>
      </c>
      <c r="N6" s="7">
        <v>0</v>
      </c>
      <c r="O6" s="5">
        <f t="shared" si="1"/>
        <v>10000</v>
      </c>
      <c r="P6" s="4">
        <f t="shared" si="2"/>
        <v>1800</v>
      </c>
      <c r="Q6" s="2">
        <f t="shared" si="3"/>
        <v>11800</v>
      </c>
      <c r="R6" s="7">
        <v>-0.72</v>
      </c>
      <c r="S6" s="49">
        <f t="shared" si="4"/>
        <v>11799.28</v>
      </c>
      <c r="T6" s="49">
        <v>11799.28</v>
      </c>
      <c r="U6" s="4">
        <f t="shared" si="5"/>
        <v>0</v>
      </c>
      <c r="V6" s="49">
        <v>11799.28</v>
      </c>
      <c r="W6" s="49">
        <f t="shared" si="6"/>
        <v>0</v>
      </c>
      <c r="X6" s="46"/>
    </row>
    <row r="7" spans="1:24" x14ac:dyDescent="0.25">
      <c r="A7" s="7">
        <v>6</v>
      </c>
      <c r="B7" s="48" t="s">
        <v>131</v>
      </c>
      <c r="C7" s="38" t="s">
        <v>238</v>
      </c>
      <c r="D7" s="38" t="s">
        <v>132</v>
      </c>
      <c r="E7" s="38" t="s">
        <v>214</v>
      </c>
      <c r="F7" s="38" t="s">
        <v>239</v>
      </c>
      <c r="G7" s="38" t="s">
        <v>3</v>
      </c>
      <c r="H7" s="7" t="s">
        <v>447</v>
      </c>
      <c r="I7" s="7">
        <v>10000</v>
      </c>
      <c r="J7" s="7">
        <v>10000</v>
      </c>
      <c r="K7" s="7">
        <v>1</v>
      </c>
      <c r="L7" s="7" t="s">
        <v>4</v>
      </c>
      <c r="M7" s="2">
        <f t="shared" si="0"/>
        <v>10000</v>
      </c>
      <c r="N7" s="7">
        <v>0</v>
      </c>
      <c r="O7" s="5">
        <f t="shared" si="1"/>
        <v>10000</v>
      </c>
      <c r="P7" s="4">
        <f t="shared" si="2"/>
        <v>1800</v>
      </c>
      <c r="Q7" s="2">
        <f t="shared" si="3"/>
        <v>11800</v>
      </c>
      <c r="R7" s="7">
        <v>0.46</v>
      </c>
      <c r="S7" s="49">
        <f t="shared" si="4"/>
        <v>11800.46</v>
      </c>
      <c r="T7" s="49">
        <v>11800.46</v>
      </c>
      <c r="U7" s="4">
        <f t="shared" si="5"/>
        <v>0</v>
      </c>
      <c r="V7" s="49">
        <v>11800.46</v>
      </c>
      <c r="W7" s="49">
        <f t="shared" si="6"/>
        <v>0</v>
      </c>
      <c r="X7" s="46"/>
    </row>
    <row r="8" spans="1:24" x14ac:dyDescent="0.25">
      <c r="A8" s="7">
        <v>7</v>
      </c>
      <c r="B8" s="48" t="s">
        <v>939</v>
      </c>
      <c r="C8" s="38" t="s">
        <v>415</v>
      </c>
      <c r="D8" s="38" t="s">
        <v>416</v>
      </c>
      <c r="E8" s="38" t="s">
        <v>417</v>
      </c>
      <c r="F8" s="38" t="s">
        <v>247</v>
      </c>
      <c r="G8" s="38" t="s">
        <v>3</v>
      </c>
      <c r="H8" s="7" t="s">
        <v>447</v>
      </c>
      <c r="I8" s="7">
        <v>10000</v>
      </c>
      <c r="J8" s="7">
        <v>10000</v>
      </c>
      <c r="K8" s="7">
        <v>1</v>
      </c>
      <c r="L8" s="7" t="s">
        <v>4</v>
      </c>
      <c r="M8" s="2">
        <f t="shared" si="0"/>
        <v>10000</v>
      </c>
      <c r="N8" s="7">
        <v>0</v>
      </c>
      <c r="O8" s="5">
        <f t="shared" si="1"/>
        <v>10000</v>
      </c>
      <c r="P8" s="4">
        <f t="shared" si="2"/>
        <v>1800</v>
      </c>
      <c r="Q8" s="2">
        <f t="shared" si="3"/>
        <v>11800</v>
      </c>
      <c r="R8" s="7">
        <v>1.1000000000000001</v>
      </c>
      <c r="S8" s="49">
        <f t="shared" si="4"/>
        <v>11801.1</v>
      </c>
      <c r="T8" s="49">
        <v>11801.1</v>
      </c>
      <c r="U8" s="4">
        <f t="shared" si="5"/>
        <v>0</v>
      </c>
      <c r="V8" s="49">
        <v>11801.1</v>
      </c>
      <c r="W8" s="49">
        <f t="shared" si="6"/>
        <v>0</v>
      </c>
      <c r="X8" s="46"/>
    </row>
    <row r="9" spans="1:24" x14ac:dyDescent="0.25">
      <c r="A9" s="7">
        <v>8</v>
      </c>
      <c r="B9" s="48" t="s">
        <v>377</v>
      </c>
      <c r="C9" s="38" t="s">
        <v>378</v>
      </c>
      <c r="D9" s="38" t="s">
        <v>378</v>
      </c>
      <c r="E9" s="38" t="s">
        <v>379</v>
      </c>
      <c r="F9" s="38" t="s">
        <v>246</v>
      </c>
      <c r="G9" s="38" t="s">
        <v>3</v>
      </c>
      <c r="H9" s="7" t="s">
        <v>447</v>
      </c>
      <c r="I9" s="7">
        <v>200000</v>
      </c>
      <c r="J9" s="7">
        <v>366527</v>
      </c>
      <c r="K9" s="7">
        <v>0.5</v>
      </c>
      <c r="L9" s="7" t="s">
        <v>4</v>
      </c>
      <c r="M9" s="2">
        <f t="shared" si="0"/>
        <v>183263.5</v>
      </c>
      <c r="N9" s="7">
        <v>0</v>
      </c>
      <c r="O9" s="5">
        <f t="shared" si="1"/>
        <v>183263.5</v>
      </c>
      <c r="P9" s="4">
        <f t="shared" si="2"/>
        <v>32987.43</v>
      </c>
      <c r="Q9" s="2">
        <f t="shared" si="3"/>
        <v>216250.93</v>
      </c>
      <c r="R9" s="7">
        <v>212546.57</v>
      </c>
      <c r="S9" s="49">
        <f t="shared" si="4"/>
        <v>428797.5</v>
      </c>
      <c r="T9" s="49">
        <v>428797.5</v>
      </c>
      <c r="U9" s="4">
        <f t="shared" si="5"/>
        <v>0</v>
      </c>
      <c r="V9" s="49">
        <v>428797.5</v>
      </c>
      <c r="W9" s="49">
        <f t="shared" si="6"/>
        <v>0</v>
      </c>
      <c r="X9" s="46"/>
    </row>
    <row r="10" spans="1:24" x14ac:dyDescent="0.25">
      <c r="A10" s="7">
        <v>9</v>
      </c>
      <c r="B10" s="48" t="s">
        <v>388</v>
      </c>
      <c r="C10" s="38" t="s">
        <v>389</v>
      </c>
      <c r="D10" s="38" t="s">
        <v>389</v>
      </c>
      <c r="E10" s="38" t="s">
        <v>390</v>
      </c>
      <c r="F10" s="38" t="s">
        <v>237</v>
      </c>
      <c r="G10" s="38" t="s">
        <v>3</v>
      </c>
      <c r="H10" s="7" t="s">
        <v>447</v>
      </c>
      <c r="I10" s="7">
        <v>10000</v>
      </c>
      <c r="J10" s="7">
        <v>10000</v>
      </c>
      <c r="K10" s="7">
        <v>1</v>
      </c>
      <c r="L10" s="7" t="s">
        <v>4</v>
      </c>
      <c r="M10" s="2">
        <f t="shared" si="0"/>
        <v>10000</v>
      </c>
      <c r="N10" s="7">
        <v>0</v>
      </c>
      <c r="O10" s="5">
        <f t="shared" si="1"/>
        <v>10000</v>
      </c>
      <c r="P10" s="4">
        <f t="shared" si="2"/>
        <v>1800</v>
      </c>
      <c r="Q10" s="2">
        <f t="shared" si="3"/>
        <v>11800</v>
      </c>
      <c r="R10" s="7">
        <v>0</v>
      </c>
      <c r="S10" s="49">
        <f t="shared" si="4"/>
        <v>11800</v>
      </c>
      <c r="T10" s="49">
        <v>11800</v>
      </c>
      <c r="U10" s="4">
        <f t="shared" si="5"/>
        <v>0</v>
      </c>
      <c r="V10" s="49">
        <v>11800</v>
      </c>
      <c r="W10" s="49">
        <f t="shared" si="6"/>
        <v>0</v>
      </c>
      <c r="X10" s="46"/>
    </row>
    <row r="11" spans="1:24" x14ac:dyDescent="0.25">
      <c r="A11" s="7">
        <v>10</v>
      </c>
      <c r="B11" s="48" t="s">
        <v>451</v>
      </c>
      <c r="C11" s="38" t="s">
        <v>452</v>
      </c>
      <c r="D11" s="38" t="s">
        <v>452</v>
      </c>
      <c r="E11" s="38" t="s">
        <v>453</v>
      </c>
      <c r="F11" s="38" t="s">
        <v>242</v>
      </c>
      <c r="G11" s="38" t="s">
        <v>3</v>
      </c>
      <c r="H11" s="7" t="s">
        <v>447</v>
      </c>
      <c r="I11" s="7">
        <v>10000</v>
      </c>
      <c r="J11" s="7">
        <v>10000</v>
      </c>
      <c r="K11" s="7">
        <v>1</v>
      </c>
      <c r="L11" s="7" t="s">
        <v>4</v>
      </c>
      <c r="M11" s="2">
        <f t="shared" si="0"/>
        <v>10000</v>
      </c>
      <c r="N11" s="7">
        <v>0</v>
      </c>
      <c r="O11" s="5">
        <f t="shared" si="1"/>
        <v>10000</v>
      </c>
      <c r="P11" s="4">
        <f t="shared" si="2"/>
        <v>1800</v>
      </c>
      <c r="Q11" s="2">
        <f t="shared" si="3"/>
        <v>11800</v>
      </c>
      <c r="R11" s="7">
        <v>0.24</v>
      </c>
      <c r="S11" s="49">
        <f t="shared" si="4"/>
        <v>11800.24</v>
      </c>
      <c r="T11" s="49">
        <v>11800.24</v>
      </c>
      <c r="U11" s="4">
        <f t="shared" si="5"/>
        <v>0</v>
      </c>
      <c r="V11" s="49">
        <v>11800.24</v>
      </c>
      <c r="W11" s="49">
        <f t="shared" si="6"/>
        <v>0</v>
      </c>
      <c r="X11" s="46"/>
    </row>
    <row r="12" spans="1:24" x14ac:dyDescent="0.25">
      <c r="A12" s="7">
        <v>11</v>
      </c>
      <c r="B12" s="48" t="s">
        <v>302</v>
      </c>
      <c r="C12" s="38" t="s">
        <v>303</v>
      </c>
      <c r="D12" s="38" t="s">
        <v>304</v>
      </c>
      <c r="E12" s="38" t="s">
        <v>305</v>
      </c>
      <c r="F12" s="38" t="s">
        <v>242</v>
      </c>
      <c r="G12" s="38" t="s">
        <v>3</v>
      </c>
      <c r="H12" s="7" t="s">
        <v>447</v>
      </c>
      <c r="I12" s="7">
        <v>400000</v>
      </c>
      <c r="J12" s="7">
        <v>400000</v>
      </c>
      <c r="K12" s="7">
        <v>0.65</v>
      </c>
      <c r="L12" s="7" t="s">
        <v>4</v>
      </c>
      <c r="M12" s="2">
        <f t="shared" si="0"/>
        <v>260000</v>
      </c>
      <c r="N12" s="7">
        <v>0</v>
      </c>
      <c r="O12" s="5">
        <f t="shared" si="1"/>
        <v>260000</v>
      </c>
      <c r="P12" s="4">
        <f t="shared" si="2"/>
        <v>46800</v>
      </c>
      <c r="Q12" s="2">
        <f t="shared" si="3"/>
        <v>306800</v>
      </c>
      <c r="R12" s="7">
        <v>0.2</v>
      </c>
      <c r="S12" s="49">
        <f t="shared" si="4"/>
        <v>306800.2</v>
      </c>
      <c r="T12" s="49">
        <v>306800.2</v>
      </c>
      <c r="U12" s="4">
        <f t="shared" si="5"/>
        <v>0</v>
      </c>
      <c r="V12" s="49">
        <v>306800.2</v>
      </c>
      <c r="W12" s="49">
        <f t="shared" si="6"/>
        <v>0</v>
      </c>
      <c r="X12" s="46"/>
    </row>
    <row r="13" spans="1:24" x14ac:dyDescent="0.25">
      <c r="A13" s="7">
        <v>12</v>
      </c>
      <c r="B13" s="48" t="s">
        <v>125</v>
      </c>
      <c r="C13" s="38" t="s">
        <v>126</v>
      </c>
      <c r="D13" s="38" t="s">
        <v>126</v>
      </c>
      <c r="E13" s="38" t="s">
        <v>124</v>
      </c>
      <c r="F13" s="38" t="s">
        <v>242</v>
      </c>
      <c r="G13" s="38" t="s">
        <v>3</v>
      </c>
      <c r="H13" s="7" t="s">
        <v>447</v>
      </c>
      <c r="I13" s="7">
        <v>10000</v>
      </c>
      <c r="J13" s="7">
        <v>10000</v>
      </c>
      <c r="K13" s="7">
        <v>1</v>
      </c>
      <c r="L13" s="7" t="s">
        <v>4</v>
      </c>
      <c r="M13" s="2">
        <f t="shared" si="0"/>
        <v>10000</v>
      </c>
      <c r="N13" s="7">
        <v>0</v>
      </c>
      <c r="O13" s="5">
        <f t="shared" si="1"/>
        <v>10000</v>
      </c>
      <c r="P13" s="4">
        <f t="shared" si="2"/>
        <v>1800</v>
      </c>
      <c r="Q13" s="2">
        <f t="shared" si="3"/>
        <v>11800</v>
      </c>
      <c r="R13" s="7">
        <v>9.33</v>
      </c>
      <c r="S13" s="49">
        <f t="shared" si="4"/>
        <v>11809.33</v>
      </c>
      <c r="T13" s="49">
        <v>11809.33</v>
      </c>
      <c r="U13" s="4">
        <f t="shared" si="5"/>
        <v>0</v>
      </c>
      <c r="V13" s="49">
        <v>11809.33</v>
      </c>
      <c r="W13" s="49">
        <f t="shared" si="6"/>
        <v>0</v>
      </c>
      <c r="X13" s="46"/>
    </row>
    <row r="14" spans="1:24" x14ac:dyDescent="0.25">
      <c r="A14" s="7">
        <v>13</v>
      </c>
      <c r="B14" s="48" t="s">
        <v>306</v>
      </c>
      <c r="C14" s="38" t="s">
        <v>314</v>
      </c>
      <c r="D14" s="38" t="s">
        <v>315</v>
      </c>
      <c r="E14" s="38" t="s">
        <v>316</v>
      </c>
      <c r="F14" s="38" t="s">
        <v>237</v>
      </c>
      <c r="G14" s="38" t="s">
        <v>3</v>
      </c>
      <c r="H14" s="7" t="s">
        <v>447</v>
      </c>
      <c r="I14" s="7">
        <v>50000</v>
      </c>
      <c r="J14" s="7">
        <v>50000</v>
      </c>
      <c r="K14" s="7">
        <v>1.25</v>
      </c>
      <c r="L14" s="7" t="s">
        <v>4</v>
      </c>
      <c r="M14" s="2">
        <f t="shared" si="0"/>
        <v>62500</v>
      </c>
      <c r="N14" s="7">
        <v>0</v>
      </c>
      <c r="O14" s="5">
        <f t="shared" si="1"/>
        <v>62500</v>
      </c>
      <c r="P14" s="4">
        <f t="shared" si="2"/>
        <v>11250</v>
      </c>
      <c r="Q14" s="2">
        <f t="shared" si="3"/>
        <v>73750</v>
      </c>
      <c r="R14" s="7">
        <v>-10738.65</v>
      </c>
      <c r="S14" s="49">
        <f t="shared" si="4"/>
        <v>63011.35</v>
      </c>
      <c r="T14" s="49">
        <v>63011.35</v>
      </c>
      <c r="U14" s="4">
        <f t="shared" si="5"/>
        <v>0</v>
      </c>
      <c r="V14" s="49">
        <v>63011.35</v>
      </c>
      <c r="W14" s="49">
        <f t="shared" si="6"/>
        <v>0</v>
      </c>
      <c r="X14" s="46"/>
    </row>
    <row r="15" spans="1:24" x14ac:dyDescent="0.25">
      <c r="A15" s="7">
        <v>14</v>
      </c>
      <c r="B15" s="48" t="s">
        <v>133</v>
      </c>
      <c r="C15" s="38" t="s">
        <v>134</v>
      </c>
      <c r="D15" s="38" t="s">
        <v>134</v>
      </c>
      <c r="E15" s="38" t="s">
        <v>212</v>
      </c>
      <c r="F15" s="38" t="s">
        <v>241</v>
      </c>
      <c r="G15" s="38" t="s">
        <v>3</v>
      </c>
      <c r="H15" s="7" t="s">
        <v>447</v>
      </c>
      <c r="I15" s="7">
        <v>20000</v>
      </c>
      <c r="J15" s="7">
        <v>20000</v>
      </c>
      <c r="K15" s="7">
        <v>1.5</v>
      </c>
      <c r="L15" s="7" t="s">
        <v>4</v>
      </c>
      <c r="M15" s="2">
        <f t="shared" si="0"/>
        <v>30000</v>
      </c>
      <c r="N15" s="7">
        <v>0</v>
      </c>
      <c r="O15" s="5">
        <f t="shared" si="1"/>
        <v>30000</v>
      </c>
      <c r="P15" s="4">
        <f t="shared" si="2"/>
        <v>5400</v>
      </c>
      <c r="Q15" s="2">
        <f t="shared" si="3"/>
        <v>35400</v>
      </c>
      <c r="R15" s="7">
        <v>-600</v>
      </c>
      <c r="S15" s="49">
        <f t="shared" si="4"/>
        <v>34800</v>
      </c>
      <c r="T15" s="49">
        <v>34800</v>
      </c>
      <c r="U15" s="4">
        <f t="shared" si="5"/>
        <v>0</v>
      </c>
      <c r="V15" s="49">
        <v>34800</v>
      </c>
      <c r="W15" s="49">
        <f t="shared" si="6"/>
        <v>0</v>
      </c>
      <c r="X15" s="46"/>
    </row>
    <row r="16" spans="1:24" x14ac:dyDescent="0.25">
      <c r="A16" s="7">
        <v>15</v>
      </c>
      <c r="B16" s="48" t="s">
        <v>135</v>
      </c>
      <c r="C16" s="38" t="s">
        <v>136</v>
      </c>
      <c r="D16" s="38" t="s">
        <v>136</v>
      </c>
      <c r="E16" s="38" t="s">
        <v>213</v>
      </c>
      <c r="F16" s="38" t="s">
        <v>236</v>
      </c>
      <c r="G16" s="38" t="s">
        <v>3</v>
      </c>
      <c r="H16" s="7" t="s">
        <v>447</v>
      </c>
      <c r="I16" s="7">
        <v>10000</v>
      </c>
      <c r="J16" s="7">
        <v>10000</v>
      </c>
      <c r="K16" s="7">
        <v>1</v>
      </c>
      <c r="L16" s="7" t="s">
        <v>4</v>
      </c>
      <c r="M16" s="2">
        <f t="shared" si="0"/>
        <v>10000</v>
      </c>
      <c r="N16" s="7">
        <v>0</v>
      </c>
      <c r="O16" s="5">
        <f t="shared" si="1"/>
        <v>10000</v>
      </c>
      <c r="P16" s="4">
        <f t="shared" si="2"/>
        <v>1800</v>
      </c>
      <c r="Q16" s="2">
        <f t="shared" si="3"/>
        <v>11800</v>
      </c>
      <c r="R16" s="7">
        <v>112.68</v>
      </c>
      <c r="S16" s="49">
        <f t="shared" si="4"/>
        <v>11912.68</v>
      </c>
      <c r="T16" s="49">
        <v>11912.68</v>
      </c>
      <c r="U16" s="4">
        <f t="shared" si="5"/>
        <v>0</v>
      </c>
      <c r="V16" s="49">
        <v>11912.68</v>
      </c>
      <c r="W16" s="49">
        <f t="shared" si="6"/>
        <v>0</v>
      </c>
      <c r="X16" s="46"/>
    </row>
    <row r="17" spans="1:24" x14ac:dyDescent="0.25">
      <c r="A17" s="7">
        <v>16</v>
      </c>
      <c r="B17" s="48" t="s">
        <v>597</v>
      </c>
      <c r="C17" s="38" t="s">
        <v>598</v>
      </c>
      <c r="D17" s="38" t="s">
        <v>598</v>
      </c>
      <c r="E17" s="38" t="s">
        <v>599</v>
      </c>
      <c r="F17" s="38" t="s">
        <v>242</v>
      </c>
      <c r="G17" s="38" t="s">
        <v>3</v>
      </c>
      <c r="H17" s="7" t="s">
        <v>117</v>
      </c>
      <c r="I17" s="7">
        <v>500</v>
      </c>
      <c r="J17" s="7">
        <v>545</v>
      </c>
      <c r="K17" s="7">
        <v>1.5</v>
      </c>
      <c r="L17" s="7" t="s">
        <v>4</v>
      </c>
      <c r="M17" s="2">
        <f t="shared" si="0"/>
        <v>817.5</v>
      </c>
      <c r="N17" s="7">
        <v>0</v>
      </c>
      <c r="O17" s="5">
        <f t="shared" si="1"/>
        <v>817.5</v>
      </c>
      <c r="P17" s="4">
        <f t="shared" si="2"/>
        <v>147.15</v>
      </c>
      <c r="Q17" s="2">
        <f t="shared" si="3"/>
        <v>964.65</v>
      </c>
      <c r="R17" s="7">
        <v>-2757.46</v>
      </c>
      <c r="S17" s="49">
        <f t="shared" si="4"/>
        <v>-1792.81</v>
      </c>
      <c r="T17" s="49">
        <v>-1792.81</v>
      </c>
      <c r="U17" s="4">
        <f t="shared" si="5"/>
        <v>0</v>
      </c>
      <c r="V17" s="49">
        <v>-1792.81</v>
      </c>
      <c r="W17" s="49">
        <f t="shared" si="6"/>
        <v>0</v>
      </c>
      <c r="X17" s="46"/>
    </row>
    <row r="18" spans="1:24" x14ac:dyDescent="0.25">
      <c r="A18" s="7">
        <v>17</v>
      </c>
      <c r="B18" s="48" t="s">
        <v>591</v>
      </c>
      <c r="C18" s="38" t="s">
        <v>592</v>
      </c>
      <c r="D18" s="38" t="s">
        <v>592</v>
      </c>
      <c r="E18" s="38" t="s">
        <v>593</v>
      </c>
      <c r="F18" s="38" t="s">
        <v>246</v>
      </c>
      <c r="G18" s="38" t="s">
        <v>3</v>
      </c>
      <c r="H18" s="7" t="s">
        <v>307</v>
      </c>
      <c r="I18" s="7">
        <v>1000</v>
      </c>
      <c r="J18" s="7">
        <v>1000</v>
      </c>
      <c r="K18" s="7">
        <v>1</v>
      </c>
      <c r="L18" s="7" t="s">
        <v>4</v>
      </c>
      <c r="M18" s="2">
        <f t="shared" si="0"/>
        <v>1000</v>
      </c>
      <c r="N18" s="7">
        <v>0</v>
      </c>
      <c r="O18" s="5">
        <f t="shared" si="1"/>
        <v>1000</v>
      </c>
      <c r="P18" s="4">
        <f t="shared" si="2"/>
        <v>180</v>
      </c>
      <c r="Q18" s="2">
        <f t="shared" si="3"/>
        <v>1180</v>
      </c>
      <c r="R18" s="7">
        <v>-3540</v>
      </c>
      <c r="S18" s="49">
        <f t="shared" si="4"/>
        <v>-2360</v>
      </c>
      <c r="T18" s="49">
        <v>-2360</v>
      </c>
      <c r="U18" s="4">
        <f t="shared" si="5"/>
        <v>0</v>
      </c>
      <c r="V18" s="49">
        <v>-2360</v>
      </c>
      <c r="W18" s="49">
        <f t="shared" si="6"/>
        <v>0</v>
      </c>
      <c r="X18" s="46"/>
    </row>
    <row r="19" spans="1:24" x14ac:dyDescent="0.25">
      <c r="A19" s="7">
        <v>18</v>
      </c>
      <c r="B19" s="48" t="s">
        <v>269</v>
      </c>
      <c r="C19" s="38" t="s">
        <v>270</v>
      </c>
      <c r="D19" s="38" t="s">
        <v>270</v>
      </c>
      <c r="E19" s="38" t="s">
        <v>271</v>
      </c>
      <c r="F19" s="38" t="s">
        <v>236</v>
      </c>
      <c r="G19" s="38" t="s">
        <v>3</v>
      </c>
      <c r="H19" s="7" t="s">
        <v>117</v>
      </c>
      <c r="I19" s="7">
        <v>15000</v>
      </c>
      <c r="J19" s="7">
        <v>15000</v>
      </c>
      <c r="K19" s="7">
        <v>0.8</v>
      </c>
      <c r="L19" s="7" t="s">
        <v>4</v>
      </c>
      <c r="M19" s="2">
        <f t="shared" si="0"/>
        <v>12000</v>
      </c>
      <c r="N19" s="7">
        <v>0</v>
      </c>
      <c r="O19" s="5">
        <f t="shared" si="1"/>
        <v>12000</v>
      </c>
      <c r="P19" s="4">
        <f t="shared" si="2"/>
        <v>2160</v>
      </c>
      <c r="Q19" s="2">
        <f t="shared" si="3"/>
        <v>14160</v>
      </c>
      <c r="R19" s="7">
        <v>-2318</v>
      </c>
      <c r="S19" s="49">
        <f t="shared" si="4"/>
        <v>11842</v>
      </c>
      <c r="T19" s="49">
        <v>11842</v>
      </c>
      <c r="U19" s="4">
        <f t="shared" si="5"/>
        <v>0</v>
      </c>
      <c r="V19" s="49">
        <v>11842</v>
      </c>
      <c r="W19" s="49">
        <f t="shared" si="6"/>
        <v>0</v>
      </c>
      <c r="X19" s="46"/>
    </row>
    <row r="20" spans="1:24" x14ac:dyDescent="0.25">
      <c r="A20" s="7">
        <v>19</v>
      </c>
      <c r="B20" s="48" t="s">
        <v>402</v>
      </c>
      <c r="C20" s="38" t="s">
        <v>403</v>
      </c>
      <c r="D20" s="38" t="s">
        <v>404</v>
      </c>
      <c r="E20" s="38" t="s">
        <v>405</v>
      </c>
      <c r="F20" s="38" t="s">
        <v>248</v>
      </c>
      <c r="G20" s="38" t="s">
        <v>3</v>
      </c>
      <c r="H20" s="7" t="s">
        <v>117</v>
      </c>
      <c r="I20" s="7">
        <v>1000</v>
      </c>
      <c r="J20" s="7">
        <v>1000</v>
      </c>
      <c r="K20" s="7">
        <v>1</v>
      </c>
      <c r="L20" s="7" t="s">
        <v>4</v>
      </c>
      <c r="M20" s="2">
        <f t="shared" si="0"/>
        <v>1000</v>
      </c>
      <c r="N20" s="7">
        <v>0</v>
      </c>
      <c r="O20" s="5">
        <f t="shared" si="1"/>
        <v>1000</v>
      </c>
      <c r="P20" s="4">
        <f t="shared" si="2"/>
        <v>180</v>
      </c>
      <c r="Q20" s="2">
        <f t="shared" si="3"/>
        <v>1180</v>
      </c>
      <c r="R20" s="7">
        <v>-3029.5</v>
      </c>
      <c r="S20" s="49">
        <f t="shared" si="4"/>
        <v>-1849.5</v>
      </c>
      <c r="T20" s="49">
        <v>-1849.5</v>
      </c>
      <c r="U20" s="4">
        <f t="shared" si="5"/>
        <v>0</v>
      </c>
      <c r="V20" s="49">
        <v>-1849.5</v>
      </c>
      <c r="W20" s="49">
        <f t="shared" si="6"/>
        <v>0</v>
      </c>
      <c r="X20" s="46"/>
    </row>
    <row r="21" spans="1:24" x14ac:dyDescent="0.25">
      <c r="A21" s="7">
        <v>20</v>
      </c>
      <c r="B21" s="48" t="s">
        <v>33</v>
      </c>
      <c r="C21" s="38" t="s">
        <v>34</v>
      </c>
      <c r="D21" s="38" t="s">
        <v>186</v>
      </c>
      <c r="E21" s="38" t="s">
        <v>32</v>
      </c>
      <c r="F21" s="38" t="s">
        <v>236</v>
      </c>
      <c r="G21" s="38" t="s">
        <v>3</v>
      </c>
      <c r="H21" s="7" t="s">
        <v>117</v>
      </c>
      <c r="I21" s="7">
        <v>1000</v>
      </c>
      <c r="J21" s="7">
        <v>1000</v>
      </c>
      <c r="K21" s="7">
        <v>1</v>
      </c>
      <c r="L21" s="7" t="s">
        <v>4</v>
      </c>
      <c r="M21" s="2">
        <f t="shared" si="0"/>
        <v>1000</v>
      </c>
      <c r="N21" s="7">
        <v>0</v>
      </c>
      <c r="O21" s="5">
        <f t="shared" si="1"/>
        <v>1000</v>
      </c>
      <c r="P21" s="4">
        <f t="shared" si="2"/>
        <v>180</v>
      </c>
      <c r="Q21" s="2">
        <f t="shared" si="3"/>
        <v>1180</v>
      </c>
      <c r="R21" s="7">
        <v>0</v>
      </c>
      <c r="S21" s="49">
        <f t="shared" si="4"/>
        <v>1180</v>
      </c>
      <c r="T21" s="49">
        <v>1180</v>
      </c>
      <c r="U21" s="4">
        <f t="shared" si="5"/>
        <v>0</v>
      </c>
      <c r="V21" s="49">
        <v>1180</v>
      </c>
      <c r="W21" s="49">
        <f t="shared" si="6"/>
        <v>0</v>
      </c>
      <c r="X21" s="46"/>
    </row>
    <row r="22" spans="1:24" x14ac:dyDescent="0.25">
      <c r="A22" s="7">
        <v>21</v>
      </c>
      <c r="B22" s="48" t="s">
        <v>391</v>
      </c>
      <c r="C22" s="38" t="s">
        <v>392</v>
      </c>
      <c r="D22" s="38" t="s">
        <v>392</v>
      </c>
      <c r="E22" s="38" t="s">
        <v>393</v>
      </c>
      <c r="F22" s="38" t="s">
        <v>236</v>
      </c>
      <c r="G22" s="38" t="s">
        <v>3</v>
      </c>
      <c r="H22" s="7" t="s">
        <v>117</v>
      </c>
      <c r="I22" s="7">
        <v>1000</v>
      </c>
      <c r="J22" s="7">
        <v>1000</v>
      </c>
      <c r="K22" s="7">
        <v>2</v>
      </c>
      <c r="L22" s="7" t="s">
        <v>4</v>
      </c>
      <c r="M22" s="2">
        <f t="shared" si="0"/>
        <v>2000</v>
      </c>
      <c r="N22" s="7">
        <v>0</v>
      </c>
      <c r="O22" s="5">
        <f t="shared" si="1"/>
        <v>2000</v>
      </c>
      <c r="P22" s="4">
        <f t="shared" si="2"/>
        <v>360</v>
      </c>
      <c r="Q22" s="2">
        <f t="shared" si="3"/>
        <v>2360</v>
      </c>
      <c r="R22" s="7">
        <v>0</v>
      </c>
      <c r="S22" s="49">
        <f t="shared" si="4"/>
        <v>2360</v>
      </c>
      <c r="T22" s="49">
        <v>2360</v>
      </c>
      <c r="U22" s="4">
        <f t="shared" si="5"/>
        <v>0</v>
      </c>
      <c r="V22" s="49">
        <v>2360</v>
      </c>
      <c r="W22" s="49">
        <f t="shared" si="6"/>
        <v>0</v>
      </c>
      <c r="X22" s="46"/>
    </row>
    <row r="23" spans="1:24" x14ac:dyDescent="0.25">
      <c r="A23" s="7">
        <v>22</v>
      </c>
      <c r="B23" s="48" t="s">
        <v>168</v>
      </c>
      <c r="C23" s="38" t="s">
        <v>16</v>
      </c>
      <c r="D23" s="38" t="s">
        <v>16</v>
      </c>
      <c r="E23" s="38" t="s">
        <v>15</v>
      </c>
      <c r="F23" s="38" t="s">
        <v>236</v>
      </c>
      <c r="G23" s="38" t="s">
        <v>3</v>
      </c>
      <c r="H23" s="7" t="s">
        <v>117</v>
      </c>
      <c r="I23" s="7">
        <v>1000</v>
      </c>
      <c r="J23" s="7">
        <v>1000</v>
      </c>
      <c r="K23" s="7">
        <v>2</v>
      </c>
      <c r="L23" s="7" t="s">
        <v>4</v>
      </c>
      <c r="M23" s="2">
        <f t="shared" si="0"/>
        <v>2000</v>
      </c>
      <c r="N23" s="7">
        <v>0</v>
      </c>
      <c r="O23" s="5">
        <f t="shared" si="1"/>
        <v>2000</v>
      </c>
      <c r="P23" s="4">
        <f t="shared" si="2"/>
        <v>360</v>
      </c>
      <c r="Q23" s="2">
        <f t="shared" si="3"/>
        <v>2360</v>
      </c>
      <c r="R23" s="7">
        <v>-489.43</v>
      </c>
      <c r="S23" s="49">
        <f t="shared" si="4"/>
        <v>1870.57</v>
      </c>
      <c r="T23" s="49">
        <v>1870.57</v>
      </c>
      <c r="U23" s="4">
        <f t="shared" si="5"/>
        <v>0</v>
      </c>
      <c r="V23" s="49">
        <v>1870.57</v>
      </c>
      <c r="W23" s="49">
        <f t="shared" si="6"/>
        <v>0</v>
      </c>
      <c r="X23" s="46"/>
    </row>
    <row r="24" spans="1:24" x14ac:dyDescent="0.25">
      <c r="A24" s="7">
        <v>23</v>
      </c>
      <c r="B24" s="48" t="s">
        <v>369</v>
      </c>
      <c r="C24" s="38" t="s">
        <v>370</v>
      </c>
      <c r="D24" s="38" t="s">
        <v>370</v>
      </c>
      <c r="E24" s="38" t="s">
        <v>371</v>
      </c>
      <c r="F24" s="38" t="s">
        <v>245</v>
      </c>
      <c r="G24" s="38" t="s">
        <v>3</v>
      </c>
      <c r="H24" s="7" t="s">
        <v>117</v>
      </c>
      <c r="I24" s="7">
        <v>1000</v>
      </c>
      <c r="J24" s="7">
        <v>1000</v>
      </c>
      <c r="K24" s="7">
        <v>2</v>
      </c>
      <c r="L24" s="7" t="s">
        <v>4</v>
      </c>
      <c r="M24" s="2">
        <f t="shared" si="0"/>
        <v>2000</v>
      </c>
      <c r="N24" s="7">
        <v>0</v>
      </c>
      <c r="O24" s="5">
        <f t="shared" si="1"/>
        <v>2000</v>
      </c>
      <c r="P24" s="4">
        <f t="shared" si="2"/>
        <v>360</v>
      </c>
      <c r="Q24" s="2">
        <f t="shared" si="3"/>
        <v>2360</v>
      </c>
      <c r="R24" s="7">
        <v>-3540.02</v>
      </c>
      <c r="S24" s="49">
        <f t="shared" si="4"/>
        <v>-1180.02</v>
      </c>
      <c r="T24" s="49">
        <v>-1180.02</v>
      </c>
      <c r="U24" s="4">
        <f t="shared" si="5"/>
        <v>0</v>
      </c>
      <c r="V24" s="49">
        <v>-1180.02</v>
      </c>
      <c r="W24" s="49">
        <f t="shared" si="6"/>
        <v>0</v>
      </c>
      <c r="X24" s="46"/>
    </row>
    <row r="25" spans="1:24" x14ac:dyDescent="0.25">
      <c r="A25" s="7">
        <v>24</v>
      </c>
      <c r="B25" s="48" t="s">
        <v>47</v>
      </c>
      <c r="C25" s="38" t="s">
        <v>48</v>
      </c>
      <c r="D25" s="38" t="s">
        <v>48</v>
      </c>
      <c r="E25" s="38" t="s">
        <v>410</v>
      </c>
      <c r="F25" s="38" t="s">
        <v>240</v>
      </c>
      <c r="G25" s="38" t="s">
        <v>3</v>
      </c>
      <c r="H25" s="7" t="s">
        <v>117</v>
      </c>
      <c r="I25" s="7">
        <v>5000</v>
      </c>
      <c r="J25" s="7">
        <v>5000</v>
      </c>
      <c r="K25" s="7">
        <v>1</v>
      </c>
      <c r="L25" s="7" t="s">
        <v>4</v>
      </c>
      <c r="M25" s="2">
        <f t="shared" si="0"/>
        <v>5000</v>
      </c>
      <c r="N25" s="7">
        <v>0</v>
      </c>
      <c r="O25" s="5">
        <f t="shared" si="1"/>
        <v>5000</v>
      </c>
      <c r="P25" s="4">
        <f t="shared" si="2"/>
        <v>900</v>
      </c>
      <c r="Q25" s="2">
        <f t="shared" si="3"/>
        <v>5900</v>
      </c>
      <c r="R25" s="7">
        <v>-0.39</v>
      </c>
      <c r="S25" s="49">
        <f t="shared" si="4"/>
        <v>5899.61</v>
      </c>
      <c r="T25" s="49">
        <v>5899.61</v>
      </c>
      <c r="U25" s="4">
        <f t="shared" si="5"/>
        <v>0</v>
      </c>
      <c r="V25" s="49">
        <v>5899.61</v>
      </c>
      <c r="W25" s="49">
        <f t="shared" si="6"/>
        <v>0</v>
      </c>
      <c r="X25" s="46"/>
    </row>
    <row r="26" spans="1:24" x14ac:dyDescent="0.25">
      <c r="A26" s="7">
        <v>25</v>
      </c>
      <c r="B26" s="48" t="s">
        <v>322</v>
      </c>
      <c r="C26" s="38" t="s">
        <v>323</v>
      </c>
      <c r="D26" s="38" t="s">
        <v>324</v>
      </c>
      <c r="E26" s="38" t="s">
        <v>325</v>
      </c>
      <c r="F26" s="38" t="s">
        <v>248</v>
      </c>
      <c r="G26" s="38" t="s">
        <v>3</v>
      </c>
      <c r="H26" s="7" t="s">
        <v>117</v>
      </c>
      <c r="I26" s="7">
        <v>5000</v>
      </c>
      <c r="J26" s="7">
        <v>5000</v>
      </c>
      <c r="K26" s="7">
        <v>1</v>
      </c>
      <c r="L26" s="7" t="s">
        <v>4</v>
      </c>
      <c r="M26" s="2">
        <f t="shared" si="0"/>
        <v>5000</v>
      </c>
      <c r="N26" s="7">
        <v>0</v>
      </c>
      <c r="O26" s="5">
        <f t="shared" si="1"/>
        <v>5000</v>
      </c>
      <c r="P26" s="4">
        <f t="shared" si="2"/>
        <v>900</v>
      </c>
      <c r="Q26" s="2">
        <f t="shared" si="3"/>
        <v>5900</v>
      </c>
      <c r="R26" s="7">
        <v>-0.06</v>
      </c>
      <c r="S26" s="49">
        <f t="shared" si="4"/>
        <v>5899.94</v>
      </c>
      <c r="T26" s="49">
        <v>5899.94</v>
      </c>
      <c r="U26" s="4">
        <f t="shared" si="5"/>
        <v>0</v>
      </c>
      <c r="V26" s="49">
        <v>5899.94</v>
      </c>
      <c r="W26" s="49">
        <f t="shared" si="6"/>
        <v>0</v>
      </c>
      <c r="X26" s="46"/>
    </row>
    <row r="27" spans="1:24" x14ac:dyDescent="0.25">
      <c r="A27" s="7">
        <v>26</v>
      </c>
      <c r="B27" s="48" t="s">
        <v>359</v>
      </c>
      <c r="C27" s="38" t="s">
        <v>360</v>
      </c>
      <c r="D27" s="38" t="s">
        <v>361</v>
      </c>
      <c r="E27" s="38" t="s">
        <v>362</v>
      </c>
      <c r="F27" s="38" t="s">
        <v>246</v>
      </c>
      <c r="G27" s="38" t="s">
        <v>3</v>
      </c>
      <c r="H27" s="7" t="s">
        <v>117</v>
      </c>
      <c r="I27" s="7">
        <v>1000</v>
      </c>
      <c r="J27" s="7">
        <v>1543</v>
      </c>
      <c r="K27" s="7">
        <v>2</v>
      </c>
      <c r="L27" s="7" t="s">
        <v>4</v>
      </c>
      <c r="M27" s="2">
        <f t="shared" si="0"/>
        <v>3086</v>
      </c>
      <c r="N27" s="7">
        <v>0</v>
      </c>
      <c r="O27" s="5">
        <f t="shared" si="1"/>
        <v>3086</v>
      </c>
      <c r="P27" s="4">
        <f t="shared" si="2"/>
        <v>555.48</v>
      </c>
      <c r="Q27" s="2">
        <f t="shared" si="3"/>
        <v>3641.48</v>
      </c>
      <c r="R27" s="7">
        <v>-0.46</v>
      </c>
      <c r="S27" s="49">
        <f t="shared" si="4"/>
        <v>3641.02</v>
      </c>
      <c r="T27" s="49">
        <v>3641.02</v>
      </c>
      <c r="U27" s="4">
        <f t="shared" si="5"/>
        <v>0</v>
      </c>
      <c r="V27" s="49">
        <v>3641.02</v>
      </c>
      <c r="W27" s="49">
        <f t="shared" si="6"/>
        <v>0</v>
      </c>
      <c r="X27" s="46"/>
    </row>
    <row r="28" spans="1:24" x14ac:dyDescent="0.25">
      <c r="A28" s="7">
        <v>27</v>
      </c>
      <c r="B28" s="48" t="s">
        <v>51</v>
      </c>
      <c r="C28" s="38" t="s">
        <v>52</v>
      </c>
      <c r="D28" s="38" t="s">
        <v>52</v>
      </c>
      <c r="E28" s="38" t="s">
        <v>50</v>
      </c>
      <c r="F28" s="38" t="s">
        <v>240</v>
      </c>
      <c r="G28" s="38" t="s">
        <v>3</v>
      </c>
      <c r="H28" s="7" t="s">
        <v>117</v>
      </c>
      <c r="I28" s="7">
        <v>1000</v>
      </c>
      <c r="J28" s="7">
        <v>1000</v>
      </c>
      <c r="K28" s="7">
        <v>2</v>
      </c>
      <c r="L28" s="7" t="s">
        <v>4</v>
      </c>
      <c r="M28" s="2">
        <f t="shared" si="0"/>
        <v>2000</v>
      </c>
      <c r="N28" s="7">
        <v>0</v>
      </c>
      <c r="O28" s="5">
        <f t="shared" si="1"/>
        <v>2000</v>
      </c>
      <c r="P28" s="4">
        <f t="shared" si="2"/>
        <v>360</v>
      </c>
      <c r="Q28" s="2">
        <f t="shared" si="3"/>
        <v>2360</v>
      </c>
      <c r="R28" s="7">
        <v>0</v>
      </c>
      <c r="S28" s="49">
        <f t="shared" si="4"/>
        <v>2360</v>
      </c>
      <c r="T28" s="49">
        <v>2360</v>
      </c>
      <c r="U28" s="4">
        <f t="shared" si="5"/>
        <v>0</v>
      </c>
      <c r="V28" s="49">
        <v>2360</v>
      </c>
      <c r="W28" s="49">
        <f t="shared" si="6"/>
        <v>0</v>
      </c>
      <c r="X28" s="46"/>
    </row>
    <row r="29" spans="1:24" x14ac:dyDescent="0.25">
      <c r="A29" s="7">
        <v>28</v>
      </c>
      <c r="B29" s="48" t="s">
        <v>169</v>
      </c>
      <c r="C29" s="38" t="s">
        <v>265</v>
      </c>
      <c r="D29" s="38" t="s">
        <v>170</v>
      </c>
      <c r="E29" s="38" t="s">
        <v>78</v>
      </c>
      <c r="F29" s="38" t="s">
        <v>236</v>
      </c>
      <c r="G29" s="38" t="s">
        <v>3</v>
      </c>
      <c r="H29" s="7" t="s">
        <v>117</v>
      </c>
      <c r="I29" s="7">
        <v>1000</v>
      </c>
      <c r="J29" s="7">
        <v>1000</v>
      </c>
      <c r="K29" s="7">
        <v>1</v>
      </c>
      <c r="L29" s="7" t="s">
        <v>4</v>
      </c>
      <c r="M29" s="2">
        <f t="shared" si="0"/>
        <v>1000</v>
      </c>
      <c r="N29" s="7">
        <v>0</v>
      </c>
      <c r="O29" s="5">
        <f t="shared" si="1"/>
        <v>1000</v>
      </c>
      <c r="P29" s="4">
        <f t="shared" si="2"/>
        <v>180</v>
      </c>
      <c r="Q29" s="2">
        <f t="shared" si="3"/>
        <v>1180</v>
      </c>
      <c r="R29" s="7">
        <v>-0.23</v>
      </c>
      <c r="S29" s="49">
        <f t="shared" si="4"/>
        <v>1179.77</v>
      </c>
      <c r="T29" s="49">
        <v>1179.77</v>
      </c>
      <c r="U29" s="4">
        <f t="shared" si="5"/>
        <v>0</v>
      </c>
      <c r="V29" s="49">
        <v>1179.77</v>
      </c>
      <c r="W29" s="49">
        <f t="shared" si="6"/>
        <v>0</v>
      </c>
      <c r="X29" s="46"/>
    </row>
    <row r="30" spans="1:24" x14ac:dyDescent="0.25">
      <c r="A30" s="7">
        <v>29</v>
      </c>
      <c r="B30" s="48" t="s">
        <v>317</v>
      </c>
      <c r="C30" s="38" t="s">
        <v>318</v>
      </c>
      <c r="D30" s="38" t="s">
        <v>318</v>
      </c>
      <c r="E30" s="38" t="s">
        <v>319</v>
      </c>
      <c r="F30" s="38" t="s">
        <v>248</v>
      </c>
      <c r="G30" s="38" t="s">
        <v>3</v>
      </c>
      <c r="H30" s="7" t="s">
        <v>117</v>
      </c>
      <c r="I30" s="7">
        <v>1000</v>
      </c>
      <c r="J30" s="7">
        <v>1000</v>
      </c>
      <c r="K30" s="7">
        <v>2</v>
      </c>
      <c r="L30" s="7" t="s">
        <v>4</v>
      </c>
      <c r="M30" s="2">
        <f t="shared" si="0"/>
        <v>2000</v>
      </c>
      <c r="N30" s="7">
        <v>0</v>
      </c>
      <c r="O30" s="5">
        <f t="shared" si="1"/>
        <v>2000</v>
      </c>
      <c r="P30" s="4">
        <f t="shared" si="2"/>
        <v>360</v>
      </c>
      <c r="Q30" s="2">
        <f t="shared" si="3"/>
        <v>2360</v>
      </c>
      <c r="R30" s="7">
        <v>0.3</v>
      </c>
      <c r="S30" s="49">
        <f t="shared" si="4"/>
        <v>2360.3000000000002</v>
      </c>
      <c r="T30" s="49">
        <v>2360.3000000000002</v>
      </c>
      <c r="U30" s="4">
        <f t="shared" si="5"/>
        <v>0</v>
      </c>
      <c r="V30" s="49">
        <v>2360.3000000000002</v>
      </c>
      <c r="W30" s="49">
        <f t="shared" si="6"/>
        <v>0</v>
      </c>
      <c r="X30" s="46"/>
    </row>
    <row r="31" spans="1:24" x14ac:dyDescent="0.25">
      <c r="A31" s="7">
        <v>30</v>
      </c>
      <c r="B31" s="48" t="s">
        <v>167</v>
      </c>
      <c r="C31" s="38" t="s">
        <v>72</v>
      </c>
      <c r="D31" s="38" t="s">
        <v>72</v>
      </c>
      <c r="E31" s="38" t="s">
        <v>71</v>
      </c>
      <c r="F31" s="38" t="s">
        <v>251</v>
      </c>
      <c r="G31" s="38" t="s">
        <v>3</v>
      </c>
      <c r="H31" s="7" t="s">
        <v>117</v>
      </c>
      <c r="I31" s="7">
        <v>1000</v>
      </c>
      <c r="J31" s="7">
        <v>1000</v>
      </c>
      <c r="K31" s="7">
        <v>2</v>
      </c>
      <c r="L31" s="7" t="s">
        <v>4</v>
      </c>
      <c r="M31" s="2">
        <f t="shared" si="0"/>
        <v>2000</v>
      </c>
      <c r="N31" s="7">
        <v>0</v>
      </c>
      <c r="O31" s="5">
        <f t="shared" si="1"/>
        <v>2000</v>
      </c>
      <c r="P31" s="4">
        <f t="shared" si="2"/>
        <v>360</v>
      </c>
      <c r="Q31" s="2">
        <f t="shared" si="3"/>
        <v>2360</v>
      </c>
      <c r="R31" s="7">
        <v>-60</v>
      </c>
      <c r="S31" s="49">
        <f t="shared" si="4"/>
        <v>2300</v>
      </c>
      <c r="T31" s="49">
        <v>2300</v>
      </c>
      <c r="U31" s="4">
        <f t="shared" si="5"/>
        <v>0</v>
      </c>
      <c r="V31" s="49">
        <v>2300</v>
      </c>
      <c r="W31" s="49">
        <f t="shared" si="6"/>
        <v>0</v>
      </c>
      <c r="X31" s="46"/>
    </row>
    <row r="32" spans="1:24" x14ac:dyDescent="0.25">
      <c r="A32" s="7">
        <v>31</v>
      </c>
      <c r="B32" s="48" t="s">
        <v>120</v>
      </c>
      <c r="C32" s="38" t="s">
        <v>121</v>
      </c>
      <c r="D32" s="38" t="s">
        <v>121</v>
      </c>
      <c r="E32" s="38" t="s">
        <v>119</v>
      </c>
      <c r="F32" s="38" t="s">
        <v>236</v>
      </c>
      <c r="G32" s="38" t="s">
        <v>3</v>
      </c>
      <c r="H32" s="7" t="s">
        <v>117</v>
      </c>
      <c r="I32" s="7">
        <v>1000</v>
      </c>
      <c r="J32" s="7">
        <v>1000</v>
      </c>
      <c r="K32" s="7">
        <v>2</v>
      </c>
      <c r="L32" s="7" t="s">
        <v>4</v>
      </c>
      <c r="M32" s="2">
        <f t="shared" si="0"/>
        <v>2000</v>
      </c>
      <c r="N32" s="7">
        <v>0</v>
      </c>
      <c r="O32" s="5">
        <f t="shared" si="1"/>
        <v>2000</v>
      </c>
      <c r="P32" s="4">
        <f t="shared" si="2"/>
        <v>360</v>
      </c>
      <c r="Q32" s="2">
        <f t="shared" si="3"/>
        <v>2360</v>
      </c>
      <c r="R32" s="7">
        <v>0</v>
      </c>
      <c r="S32" s="49">
        <f t="shared" si="4"/>
        <v>2360</v>
      </c>
      <c r="T32" s="49">
        <v>2360</v>
      </c>
      <c r="U32" s="4">
        <f t="shared" si="5"/>
        <v>0</v>
      </c>
      <c r="V32" s="49">
        <v>2360</v>
      </c>
      <c r="W32" s="49">
        <f t="shared" si="6"/>
        <v>0</v>
      </c>
      <c r="X32" s="46"/>
    </row>
    <row r="33" spans="1:24" x14ac:dyDescent="0.25">
      <c r="A33" s="7">
        <v>32</v>
      </c>
      <c r="B33" s="48" t="s">
        <v>210</v>
      </c>
      <c r="C33" s="38" t="s">
        <v>225</v>
      </c>
      <c r="D33" s="38" t="s">
        <v>226</v>
      </c>
      <c r="E33" s="38" t="s">
        <v>252</v>
      </c>
      <c r="F33" s="38" t="s">
        <v>236</v>
      </c>
      <c r="G33" s="38" t="s">
        <v>3</v>
      </c>
      <c r="H33" s="7" t="s">
        <v>117</v>
      </c>
      <c r="I33" s="7">
        <v>1000</v>
      </c>
      <c r="J33" s="7">
        <v>1037</v>
      </c>
      <c r="K33" s="7">
        <v>2</v>
      </c>
      <c r="L33" s="7" t="s">
        <v>4</v>
      </c>
      <c r="M33" s="2">
        <f t="shared" si="0"/>
        <v>2074</v>
      </c>
      <c r="N33" s="7">
        <v>0</v>
      </c>
      <c r="O33" s="5">
        <f t="shared" si="1"/>
        <v>2074</v>
      </c>
      <c r="P33" s="4">
        <f t="shared" si="2"/>
        <v>373.32</v>
      </c>
      <c r="Q33" s="2">
        <f t="shared" si="3"/>
        <v>2447.3200000000002</v>
      </c>
      <c r="R33" s="7">
        <v>0</v>
      </c>
      <c r="S33" s="49">
        <f t="shared" si="4"/>
        <v>2447.3200000000002</v>
      </c>
      <c r="T33" s="49">
        <v>2447.3200000000002</v>
      </c>
      <c r="U33" s="4">
        <f t="shared" si="5"/>
        <v>0</v>
      </c>
      <c r="V33" s="49">
        <v>2447.3200000000002</v>
      </c>
      <c r="W33" s="49">
        <f t="shared" si="6"/>
        <v>0</v>
      </c>
      <c r="X33" s="46"/>
    </row>
    <row r="34" spans="1:24" x14ac:dyDescent="0.25">
      <c r="A34" s="7">
        <v>33</v>
      </c>
      <c r="B34" s="48" t="s">
        <v>309</v>
      </c>
      <c r="C34" s="38" t="s">
        <v>310</v>
      </c>
      <c r="D34" s="38" t="s">
        <v>311</v>
      </c>
      <c r="E34" s="38" t="s">
        <v>312</v>
      </c>
      <c r="F34" s="38" t="s">
        <v>237</v>
      </c>
      <c r="G34" s="38" t="s">
        <v>3</v>
      </c>
      <c r="H34" s="7" t="s">
        <v>117</v>
      </c>
      <c r="I34" s="7">
        <v>1000</v>
      </c>
      <c r="J34" s="7">
        <v>6203</v>
      </c>
      <c r="K34" s="7">
        <v>1.5</v>
      </c>
      <c r="L34" s="7" t="s">
        <v>4</v>
      </c>
      <c r="M34" s="2">
        <f t="shared" ref="M34:M65" si="7">J34*K34</f>
        <v>9304.5</v>
      </c>
      <c r="N34" s="7">
        <v>0</v>
      </c>
      <c r="O34" s="5">
        <f t="shared" si="1"/>
        <v>9304.5</v>
      </c>
      <c r="P34" s="4">
        <f t="shared" si="2"/>
        <v>1674.81</v>
      </c>
      <c r="Q34" s="2">
        <f t="shared" si="3"/>
        <v>10979.31</v>
      </c>
      <c r="R34" s="7">
        <v>0.03</v>
      </c>
      <c r="S34" s="49">
        <f t="shared" si="4"/>
        <v>10979.34</v>
      </c>
      <c r="T34" s="49">
        <v>10979.34</v>
      </c>
      <c r="U34" s="4">
        <f t="shared" si="5"/>
        <v>0</v>
      </c>
      <c r="V34" s="49">
        <v>10979.34</v>
      </c>
      <c r="W34" s="49">
        <f t="shared" si="6"/>
        <v>0</v>
      </c>
      <c r="X34" s="46"/>
    </row>
    <row r="35" spans="1:24" x14ac:dyDescent="0.25">
      <c r="A35" s="7">
        <v>34</v>
      </c>
      <c r="B35" s="48" t="s">
        <v>196</v>
      </c>
      <c r="C35" s="38" t="s">
        <v>197</v>
      </c>
      <c r="D35" s="38" t="s">
        <v>197</v>
      </c>
      <c r="E35" s="38" t="s">
        <v>31</v>
      </c>
      <c r="F35" s="38" t="s">
        <v>243</v>
      </c>
      <c r="G35" s="38" t="s">
        <v>3</v>
      </c>
      <c r="H35" s="7" t="s">
        <v>117</v>
      </c>
      <c r="I35" s="7">
        <v>1000</v>
      </c>
      <c r="J35" s="7">
        <v>1788</v>
      </c>
      <c r="K35" s="7">
        <v>1</v>
      </c>
      <c r="L35" s="7" t="s">
        <v>4</v>
      </c>
      <c r="M35" s="2">
        <f t="shared" si="7"/>
        <v>1788</v>
      </c>
      <c r="N35" s="7">
        <v>0</v>
      </c>
      <c r="O35" s="5">
        <f t="shared" si="1"/>
        <v>1788</v>
      </c>
      <c r="P35" s="4">
        <f t="shared" si="2"/>
        <v>321.83999999999997</v>
      </c>
      <c r="Q35" s="2">
        <f t="shared" si="3"/>
        <v>2109.84</v>
      </c>
      <c r="R35" s="7">
        <v>544.87</v>
      </c>
      <c r="S35" s="49">
        <f t="shared" si="4"/>
        <v>2654.71</v>
      </c>
      <c r="T35" s="49">
        <v>2654.71</v>
      </c>
      <c r="U35" s="4">
        <f t="shared" si="5"/>
        <v>0</v>
      </c>
      <c r="V35" s="49">
        <v>2654.71</v>
      </c>
      <c r="W35" s="49">
        <f t="shared" si="6"/>
        <v>0</v>
      </c>
      <c r="X35" s="46"/>
    </row>
    <row r="36" spans="1:24" x14ac:dyDescent="0.25">
      <c r="A36" s="7">
        <v>35</v>
      </c>
      <c r="B36" s="48" t="s">
        <v>493</v>
      </c>
      <c r="C36" s="38" t="s">
        <v>494</v>
      </c>
      <c r="D36" s="38" t="s">
        <v>495</v>
      </c>
      <c r="E36" s="38" t="s">
        <v>496</v>
      </c>
      <c r="F36" s="38" t="s">
        <v>239</v>
      </c>
      <c r="G36" s="38" t="s">
        <v>3</v>
      </c>
      <c r="H36" s="7" t="s">
        <v>117</v>
      </c>
      <c r="I36" s="7">
        <v>800</v>
      </c>
      <c r="J36" s="7">
        <v>800</v>
      </c>
      <c r="K36" s="7">
        <v>1</v>
      </c>
      <c r="L36" s="7" t="s">
        <v>4</v>
      </c>
      <c r="M36" s="2">
        <f t="shared" si="7"/>
        <v>800</v>
      </c>
      <c r="N36" s="7">
        <v>0</v>
      </c>
      <c r="O36" s="5">
        <f t="shared" si="1"/>
        <v>800</v>
      </c>
      <c r="P36" s="4">
        <f t="shared" si="2"/>
        <v>144</v>
      </c>
      <c r="Q36" s="2">
        <f t="shared" si="3"/>
        <v>944</v>
      </c>
      <c r="R36" s="7">
        <v>-2820.45</v>
      </c>
      <c r="S36" s="49">
        <f t="shared" si="4"/>
        <v>-1876.4499999999998</v>
      </c>
      <c r="T36" s="49">
        <v>-1876.45</v>
      </c>
      <c r="U36" s="4">
        <f t="shared" si="5"/>
        <v>0</v>
      </c>
      <c r="V36" s="49">
        <v>-1876.45</v>
      </c>
      <c r="W36" s="49">
        <f t="shared" si="6"/>
        <v>0</v>
      </c>
      <c r="X36" s="46"/>
    </row>
    <row r="37" spans="1:24" x14ac:dyDescent="0.25">
      <c r="A37" s="7">
        <v>36</v>
      </c>
      <c r="B37" s="48" t="s">
        <v>26</v>
      </c>
      <c r="C37" s="38" t="s">
        <v>279</v>
      </c>
      <c r="D37" s="38" t="s">
        <v>198</v>
      </c>
      <c r="E37" s="38" t="s">
        <v>280</v>
      </c>
      <c r="F37" s="38" t="s">
        <v>239</v>
      </c>
      <c r="G37" s="38" t="s">
        <v>3</v>
      </c>
      <c r="H37" s="7" t="s">
        <v>117</v>
      </c>
      <c r="I37" s="7">
        <v>1000</v>
      </c>
      <c r="J37" s="7">
        <v>1000</v>
      </c>
      <c r="K37" s="7">
        <v>2</v>
      </c>
      <c r="L37" s="7" t="s">
        <v>4</v>
      </c>
      <c r="M37" s="2">
        <f t="shared" si="7"/>
        <v>2000</v>
      </c>
      <c r="N37" s="7">
        <v>0</v>
      </c>
      <c r="O37" s="5">
        <f t="shared" si="1"/>
        <v>2000</v>
      </c>
      <c r="P37" s="4">
        <f t="shared" si="2"/>
        <v>360</v>
      </c>
      <c r="Q37" s="2">
        <f t="shared" si="3"/>
        <v>2360</v>
      </c>
      <c r="R37" s="7">
        <v>0.54</v>
      </c>
      <c r="S37" s="49">
        <f t="shared" si="4"/>
        <v>2360.54</v>
      </c>
      <c r="T37" s="49">
        <v>2360.54</v>
      </c>
      <c r="U37" s="4">
        <f t="shared" si="5"/>
        <v>0</v>
      </c>
      <c r="V37" s="49">
        <v>2360.54</v>
      </c>
      <c r="W37" s="49">
        <f t="shared" si="6"/>
        <v>0</v>
      </c>
      <c r="X37" s="46"/>
    </row>
    <row r="38" spans="1:24" x14ac:dyDescent="0.25">
      <c r="A38" s="7">
        <v>37</v>
      </c>
      <c r="B38" s="48" t="s">
        <v>291</v>
      </c>
      <c r="C38" s="38" t="s">
        <v>292</v>
      </c>
      <c r="D38" s="38" t="s">
        <v>292</v>
      </c>
      <c r="E38" s="38" t="s">
        <v>22</v>
      </c>
      <c r="F38" s="38" t="s">
        <v>241</v>
      </c>
      <c r="G38" s="38" t="s">
        <v>3</v>
      </c>
      <c r="H38" s="7" t="s">
        <v>117</v>
      </c>
      <c r="I38" s="7">
        <v>1000</v>
      </c>
      <c r="J38" s="7">
        <v>2019</v>
      </c>
      <c r="K38" s="7">
        <v>2</v>
      </c>
      <c r="L38" s="7" t="s">
        <v>4</v>
      </c>
      <c r="M38" s="2">
        <f t="shared" si="7"/>
        <v>4038</v>
      </c>
      <c r="N38" s="7">
        <v>0</v>
      </c>
      <c r="O38" s="5">
        <f t="shared" si="1"/>
        <v>4038</v>
      </c>
      <c r="P38" s="4">
        <f t="shared" si="2"/>
        <v>726.83999999999992</v>
      </c>
      <c r="Q38" s="2">
        <f t="shared" si="3"/>
        <v>4764.84</v>
      </c>
      <c r="R38" s="7">
        <v>-0.08</v>
      </c>
      <c r="S38" s="49">
        <f t="shared" si="4"/>
        <v>4764.76</v>
      </c>
      <c r="T38" s="49">
        <v>4764.76</v>
      </c>
      <c r="U38" s="4">
        <f t="shared" si="5"/>
        <v>0</v>
      </c>
      <c r="V38" s="49">
        <v>4764.76</v>
      </c>
      <c r="W38" s="49">
        <f t="shared" si="6"/>
        <v>0</v>
      </c>
      <c r="X38" s="46"/>
    </row>
    <row r="39" spans="1:24" x14ac:dyDescent="0.25">
      <c r="A39" s="7">
        <v>38</v>
      </c>
      <c r="B39" s="48" t="s">
        <v>112</v>
      </c>
      <c r="C39" s="38" t="s">
        <v>113</v>
      </c>
      <c r="D39" s="38" t="s">
        <v>113</v>
      </c>
      <c r="E39" s="38" t="s">
        <v>111</v>
      </c>
      <c r="F39" s="38" t="s">
        <v>237</v>
      </c>
      <c r="G39" s="38" t="s">
        <v>3</v>
      </c>
      <c r="H39" s="7" t="s">
        <v>117</v>
      </c>
      <c r="I39" s="7">
        <v>1000</v>
      </c>
      <c r="J39" s="7">
        <v>1000</v>
      </c>
      <c r="K39" s="7">
        <v>1</v>
      </c>
      <c r="L39" s="7" t="s">
        <v>4</v>
      </c>
      <c r="M39" s="2">
        <f t="shared" si="7"/>
        <v>1000</v>
      </c>
      <c r="N39" s="7">
        <v>0</v>
      </c>
      <c r="O39" s="5">
        <f t="shared" si="1"/>
        <v>1000</v>
      </c>
      <c r="P39" s="4">
        <f t="shared" si="2"/>
        <v>180</v>
      </c>
      <c r="Q39" s="2">
        <f t="shared" si="3"/>
        <v>1180</v>
      </c>
      <c r="R39" s="7">
        <v>0</v>
      </c>
      <c r="S39" s="49">
        <f t="shared" si="4"/>
        <v>1180</v>
      </c>
      <c r="T39" s="49">
        <v>1180</v>
      </c>
      <c r="U39" s="4">
        <f t="shared" si="5"/>
        <v>0</v>
      </c>
      <c r="V39" s="49">
        <v>1180</v>
      </c>
      <c r="W39" s="49">
        <f t="shared" si="6"/>
        <v>0</v>
      </c>
      <c r="X39" s="46"/>
    </row>
    <row r="40" spans="1:24" x14ac:dyDescent="0.25">
      <c r="A40" s="7">
        <v>39</v>
      </c>
      <c r="B40" s="48" t="s">
        <v>339</v>
      </c>
      <c r="C40" s="38" t="s">
        <v>340</v>
      </c>
      <c r="D40" s="38" t="s">
        <v>341</v>
      </c>
      <c r="E40" s="38" t="s">
        <v>342</v>
      </c>
      <c r="F40" s="38" t="s">
        <v>240</v>
      </c>
      <c r="G40" s="38" t="s">
        <v>3</v>
      </c>
      <c r="H40" s="7" t="s">
        <v>117</v>
      </c>
      <c r="I40" s="7">
        <v>1000</v>
      </c>
      <c r="J40" s="7">
        <v>1000</v>
      </c>
      <c r="K40" s="7">
        <v>2</v>
      </c>
      <c r="L40" s="7" t="s">
        <v>4</v>
      </c>
      <c r="M40" s="2">
        <f t="shared" si="7"/>
        <v>2000</v>
      </c>
      <c r="N40" s="7">
        <v>0</v>
      </c>
      <c r="O40" s="5">
        <f t="shared" si="1"/>
        <v>2000</v>
      </c>
      <c r="P40" s="4">
        <f t="shared" si="2"/>
        <v>360</v>
      </c>
      <c r="Q40" s="2">
        <f t="shared" si="3"/>
        <v>2360</v>
      </c>
      <c r="R40" s="7">
        <v>0</v>
      </c>
      <c r="S40" s="49">
        <f t="shared" si="4"/>
        <v>2360</v>
      </c>
      <c r="T40" s="49">
        <v>2360</v>
      </c>
      <c r="U40" s="4">
        <f t="shared" si="5"/>
        <v>0</v>
      </c>
      <c r="V40" s="49">
        <v>2360</v>
      </c>
      <c r="W40" s="49">
        <f t="shared" si="6"/>
        <v>0</v>
      </c>
      <c r="X40" s="46"/>
    </row>
    <row r="41" spans="1:24" x14ac:dyDescent="0.25">
      <c r="A41" s="7">
        <v>40</v>
      </c>
      <c r="B41" s="48" t="s">
        <v>422</v>
      </c>
      <c r="C41" s="38" t="s">
        <v>423</v>
      </c>
      <c r="D41" s="38" t="s">
        <v>423</v>
      </c>
      <c r="E41" s="38" t="s">
        <v>424</v>
      </c>
      <c r="F41" s="38" t="s">
        <v>245</v>
      </c>
      <c r="G41" s="38" t="s">
        <v>3</v>
      </c>
      <c r="H41" s="7" t="s">
        <v>117</v>
      </c>
      <c r="I41" s="7">
        <v>1000</v>
      </c>
      <c r="J41" s="7">
        <v>1000</v>
      </c>
      <c r="K41" s="7">
        <v>2</v>
      </c>
      <c r="L41" s="7" t="s">
        <v>4</v>
      </c>
      <c r="M41" s="2">
        <f>J41*K41+250</f>
        <v>2250</v>
      </c>
      <c r="N41" s="7">
        <v>0</v>
      </c>
      <c r="O41" s="5">
        <f t="shared" si="1"/>
        <v>2250</v>
      </c>
      <c r="P41" s="4">
        <f t="shared" si="2"/>
        <v>405</v>
      </c>
      <c r="Q41" s="2">
        <f t="shared" si="3"/>
        <v>2655</v>
      </c>
      <c r="R41" s="7">
        <v>0.39</v>
      </c>
      <c r="S41" s="49">
        <f t="shared" si="4"/>
        <v>2655.39</v>
      </c>
      <c r="T41" s="49">
        <v>2655.39</v>
      </c>
      <c r="U41" s="4">
        <f t="shared" si="5"/>
        <v>0</v>
      </c>
      <c r="V41" s="49">
        <v>2655.39</v>
      </c>
      <c r="W41" s="49">
        <f t="shared" si="6"/>
        <v>0</v>
      </c>
      <c r="X41" s="46"/>
    </row>
    <row r="42" spans="1:24" x14ac:dyDescent="0.25">
      <c r="A42" s="7">
        <v>41</v>
      </c>
      <c r="B42" s="48" t="s">
        <v>24</v>
      </c>
      <c r="C42" s="38" t="s">
        <v>25</v>
      </c>
      <c r="D42" s="38" t="s">
        <v>25</v>
      </c>
      <c r="E42" s="38" t="s">
        <v>23</v>
      </c>
      <c r="F42" s="38" t="s">
        <v>246</v>
      </c>
      <c r="G42" s="38" t="s">
        <v>3</v>
      </c>
      <c r="H42" s="7" t="s">
        <v>117</v>
      </c>
      <c r="I42" s="7">
        <v>1000</v>
      </c>
      <c r="J42" s="7">
        <v>1000</v>
      </c>
      <c r="K42" s="7">
        <v>2</v>
      </c>
      <c r="L42" s="7" t="s">
        <v>4</v>
      </c>
      <c r="M42" s="2">
        <f t="shared" si="7"/>
        <v>2000</v>
      </c>
      <c r="N42" s="7">
        <v>0</v>
      </c>
      <c r="O42" s="5">
        <f t="shared" si="1"/>
        <v>2000</v>
      </c>
      <c r="P42" s="4">
        <f t="shared" si="2"/>
        <v>360</v>
      </c>
      <c r="Q42" s="2">
        <f t="shared" si="3"/>
        <v>2360</v>
      </c>
      <c r="R42" s="7">
        <v>-0.18</v>
      </c>
      <c r="S42" s="49">
        <f t="shared" si="4"/>
        <v>2359.8200000000002</v>
      </c>
      <c r="T42" s="49">
        <v>2359.8200000000002</v>
      </c>
      <c r="U42" s="4">
        <f t="shared" si="5"/>
        <v>0</v>
      </c>
      <c r="V42" s="49">
        <v>2359.8200000000002</v>
      </c>
      <c r="W42" s="49">
        <f t="shared" si="6"/>
        <v>0</v>
      </c>
      <c r="X42" s="46"/>
    </row>
    <row r="43" spans="1:24" x14ac:dyDescent="0.25">
      <c r="A43" s="7">
        <v>42</v>
      </c>
      <c r="B43" s="48" t="s">
        <v>395</v>
      </c>
      <c r="C43" s="38" t="s">
        <v>396</v>
      </c>
      <c r="D43" s="38" t="s">
        <v>396</v>
      </c>
      <c r="E43" s="38" t="s">
        <v>406</v>
      </c>
      <c r="F43" s="38" t="s">
        <v>242</v>
      </c>
      <c r="G43" s="38" t="s">
        <v>3</v>
      </c>
      <c r="H43" s="7" t="s">
        <v>117</v>
      </c>
      <c r="I43" s="7">
        <v>500</v>
      </c>
      <c r="J43" s="7">
        <v>500</v>
      </c>
      <c r="K43" s="7">
        <v>2</v>
      </c>
      <c r="L43" s="7" t="s">
        <v>4</v>
      </c>
      <c r="M43" s="2">
        <f t="shared" si="7"/>
        <v>1000</v>
      </c>
      <c r="N43" s="7">
        <v>0</v>
      </c>
      <c r="O43" s="5">
        <f t="shared" si="1"/>
        <v>1000</v>
      </c>
      <c r="P43" s="4">
        <f t="shared" si="2"/>
        <v>180</v>
      </c>
      <c r="Q43" s="2">
        <f t="shared" si="3"/>
        <v>1180</v>
      </c>
      <c r="R43" s="7">
        <v>-0.05</v>
      </c>
      <c r="S43" s="49">
        <f t="shared" si="4"/>
        <v>1179.95</v>
      </c>
      <c r="T43" s="49">
        <v>1179.95</v>
      </c>
      <c r="U43" s="4">
        <f t="shared" si="5"/>
        <v>0</v>
      </c>
      <c r="V43" s="49">
        <v>1179.95</v>
      </c>
      <c r="W43" s="49">
        <f t="shared" si="6"/>
        <v>0</v>
      </c>
      <c r="X43" s="46"/>
    </row>
    <row r="44" spans="1:24" x14ac:dyDescent="0.25">
      <c r="A44" s="7">
        <v>43</v>
      </c>
      <c r="B44" s="48" t="s">
        <v>95</v>
      </c>
      <c r="C44" s="38" t="s">
        <v>96</v>
      </c>
      <c r="D44" s="38" t="s">
        <v>163</v>
      </c>
      <c r="E44" s="38" t="s">
        <v>313</v>
      </c>
      <c r="F44" s="38" t="s">
        <v>246</v>
      </c>
      <c r="G44" s="38" t="s">
        <v>3</v>
      </c>
      <c r="H44" s="7" t="s">
        <v>117</v>
      </c>
      <c r="I44" s="7">
        <v>1000</v>
      </c>
      <c r="J44" s="7">
        <v>1000</v>
      </c>
      <c r="K44" s="7">
        <v>2</v>
      </c>
      <c r="L44" s="7" t="s">
        <v>4</v>
      </c>
      <c r="M44" s="2">
        <f t="shared" si="7"/>
        <v>2000</v>
      </c>
      <c r="N44" s="7">
        <v>0</v>
      </c>
      <c r="O44" s="5">
        <f t="shared" si="1"/>
        <v>2000</v>
      </c>
      <c r="P44" s="4">
        <f t="shared" si="2"/>
        <v>360</v>
      </c>
      <c r="Q44" s="2">
        <f t="shared" si="3"/>
        <v>2360</v>
      </c>
      <c r="R44" s="7">
        <v>-484.26</v>
      </c>
      <c r="S44" s="49">
        <f t="shared" si="4"/>
        <v>1875.74</v>
      </c>
      <c r="T44" s="49">
        <v>1875.74</v>
      </c>
      <c r="U44" s="4">
        <f t="shared" si="5"/>
        <v>0</v>
      </c>
      <c r="V44" s="49">
        <v>1875.74</v>
      </c>
      <c r="W44" s="49">
        <f t="shared" si="6"/>
        <v>0</v>
      </c>
      <c r="X44" s="46"/>
    </row>
    <row r="45" spans="1:24" x14ac:dyDescent="0.25">
      <c r="A45" s="7">
        <v>44</v>
      </c>
      <c r="B45" s="48" t="s">
        <v>36</v>
      </c>
      <c r="C45" s="38" t="s">
        <v>37</v>
      </c>
      <c r="D45" s="38" t="s">
        <v>37</v>
      </c>
      <c r="E45" s="38" t="s">
        <v>35</v>
      </c>
      <c r="F45" s="38" t="s">
        <v>243</v>
      </c>
      <c r="G45" s="38" t="s">
        <v>3</v>
      </c>
      <c r="H45" s="7" t="s">
        <v>117</v>
      </c>
      <c r="I45" s="7">
        <v>1000</v>
      </c>
      <c r="J45" s="7">
        <v>1000</v>
      </c>
      <c r="K45" s="7">
        <v>2</v>
      </c>
      <c r="L45" s="7" t="s">
        <v>4</v>
      </c>
      <c r="M45" s="2">
        <f t="shared" si="7"/>
        <v>2000</v>
      </c>
      <c r="N45" s="7">
        <v>0</v>
      </c>
      <c r="O45" s="5">
        <f t="shared" si="1"/>
        <v>2000</v>
      </c>
      <c r="P45" s="4">
        <f t="shared" si="2"/>
        <v>360</v>
      </c>
      <c r="Q45" s="2">
        <f t="shared" si="3"/>
        <v>2360</v>
      </c>
      <c r="R45" s="7">
        <v>-0.38</v>
      </c>
      <c r="S45" s="49">
        <f t="shared" si="4"/>
        <v>2359.62</v>
      </c>
      <c r="T45" s="49">
        <v>2359.62</v>
      </c>
      <c r="U45" s="4">
        <f t="shared" si="5"/>
        <v>0</v>
      </c>
      <c r="V45" s="49">
        <v>2359.62</v>
      </c>
      <c r="W45" s="49">
        <f t="shared" si="6"/>
        <v>0</v>
      </c>
      <c r="X45" s="46"/>
    </row>
    <row r="46" spans="1:24" x14ac:dyDescent="0.25">
      <c r="A46" s="7">
        <v>45</v>
      </c>
      <c r="B46" s="48" t="s">
        <v>146</v>
      </c>
      <c r="C46" s="38" t="s">
        <v>77</v>
      </c>
      <c r="D46" s="38" t="s">
        <v>77</v>
      </c>
      <c r="E46" s="38" t="s">
        <v>76</v>
      </c>
      <c r="F46" s="38" t="s">
        <v>248</v>
      </c>
      <c r="G46" s="38" t="s">
        <v>3</v>
      </c>
      <c r="H46" s="7" t="s">
        <v>117</v>
      </c>
      <c r="I46" s="7">
        <v>1000</v>
      </c>
      <c r="J46" s="7">
        <v>1149</v>
      </c>
      <c r="K46" s="7">
        <v>2</v>
      </c>
      <c r="L46" s="7" t="s">
        <v>4</v>
      </c>
      <c r="M46" s="2">
        <f t="shared" si="7"/>
        <v>2298</v>
      </c>
      <c r="N46" s="7">
        <v>0</v>
      </c>
      <c r="O46" s="5">
        <f t="shared" si="1"/>
        <v>2298</v>
      </c>
      <c r="P46" s="4">
        <f t="shared" si="2"/>
        <v>413.64</v>
      </c>
      <c r="Q46" s="2">
        <f t="shared" si="3"/>
        <v>2711.64</v>
      </c>
      <c r="R46" s="7">
        <v>-0.24</v>
      </c>
      <c r="S46" s="49">
        <f t="shared" si="4"/>
        <v>2711.4</v>
      </c>
      <c r="T46" s="49">
        <v>2711.4</v>
      </c>
      <c r="U46" s="4">
        <f t="shared" si="5"/>
        <v>0</v>
      </c>
      <c r="V46" s="49">
        <v>2711.4</v>
      </c>
      <c r="W46" s="49">
        <f t="shared" si="6"/>
        <v>0</v>
      </c>
      <c r="X46" s="46"/>
    </row>
    <row r="47" spans="1:24" x14ac:dyDescent="0.25">
      <c r="A47" s="7">
        <v>46</v>
      </c>
      <c r="B47" s="48" t="s">
        <v>158</v>
      </c>
      <c r="C47" s="38" t="s">
        <v>19</v>
      </c>
      <c r="D47" s="38" t="s">
        <v>19</v>
      </c>
      <c r="E47" s="38" t="s">
        <v>18</v>
      </c>
      <c r="F47" s="38" t="s">
        <v>236</v>
      </c>
      <c r="G47" s="38" t="s">
        <v>3</v>
      </c>
      <c r="H47" s="7" t="s">
        <v>117</v>
      </c>
      <c r="I47" s="7">
        <v>1000</v>
      </c>
      <c r="J47" s="7">
        <v>1000</v>
      </c>
      <c r="K47" s="7">
        <v>1</v>
      </c>
      <c r="L47" s="7" t="s">
        <v>4</v>
      </c>
      <c r="M47" s="2">
        <f t="shared" si="7"/>
        <v>1000</v>
      </c>
      <c r="N47" s="7">
        <v>0</v>
      </c>
      <c r="O47" s="5">
        <f t="shared" si="1"/>
        <v>1000</v>
      </c>
      <c r="P47" s="4">
        <f t="shared" si="2"/>
        <v>180</v>
      </c>
      <c r="Q47" s="2">
        <f t="shared" si="3"/>
        <v>1180</v>
      </c>
      <c r="R47" s="7">
        <v>40</v>
      </c>
      <c r="S47" s="49">
        <f t="shared" si="4"/>
        <v>1220</v>
      </c>
      <c r="T47" s="49">
        <v>1220</v>
      </c>
      <c r="U47" s="4">
        <f t="shared" si="5"/>
        <v>0</v>
      </c>
      <c r="V47" s="49">
        <v>1220</v>
      </c>
      <c r="W47" s="49">
        <f t="shared" si="6"/>
        <v>0</v>
      </c>
      <c r="X47" s="46"/>
    </row>
    <row r="48" spans="1:24" x14ac:dyDescent="0.25">
      <c r="A48" s="7">
        <v>47</v>
      </c>
      <c r="B48" s="48" t="s">
        <v>83</v>
      </c>
      <c r="C48" s="38" t="s">
        <v>206</v>
      </c>
      <c r="D48" s="38" t="s">
        <v>207</v>
      </c>
      <c r="E48" s="38" t="s">
        <v>208</v>
      </c>
      <c r="F48" s="38" t="s">
        <v>245</v>
      </c>
      <c r="G48" s="38" t="s">
        <v>3</v>
      </c>
      <c r="H48" s="7" t="s">
        <v>307</v>
      </c>
      <c r="I48" s="7">
        <v>1000</v>
      </c>
      <c r="J48" s="7">
        <v>1323</v>
      </c>
      <c r="K48" s="7">
        <v>2</v>
      </c>
      <c r="L48" s="7" t="s">
        <v>4</v>
      </c>
      <c r="M48" s="2">
        <f t="shared" si="7"/>
        <v>2646</v>
      </c>
      <c r="N48" s="7">
        <v>0</v>
      </c>
      <c r="O48" s="5">
        <f t="shared" si="1"/>
        <v>2646</v>
      </c>
      <c r="P48" s="4">
        <f t="shared" si="2"/>
        <v>476.28</v>
      </c>
      <c r="Q48" s="2">
        <f t="shared" si="3"/>
        <v>3122.2799999999997</v>
      </c>
      <c r="R48" s="7">
        <v>0</v>
      </c>
      <c r="S48" s="49">
        <f t="shared" si="4"/>
        <v>3122.2799999999997</v>
      </c>
      <c r="T48" s="49">
        <v>3122.28</v>
      </c>
      <c r="U48" s="4">
        <f t="shared" si="5"/>
        <v>0</v>
      </c>
      <c r="V48" s="49">
        <v>3122.28</v>
      </c>
      <c r="W48" s="49">
        <f t="shared" si="6"/>
        <v>0</v>
      </c>
      <c r="X48" s="46"/>
    </row>
    <row r="49" spans="1:24" x14ac:dyDescent="0.25">
      <c r="A49" s="7">
        <v>48</v>
      </c>
      <c r="B49" s="48" t="s">
        <v>156</v>
      </c>
      <c r="C49" s="38" t="s">
        <v>14</v>
      </c>
      <c r="D49" s="38" t="s">
        <v>14</v>
      </c>
      <c r="E49" s="38" t="s">
        <v>13</v>
      </c>
      <c r="F49" s="38" t="s">
        <v>237</v>
      </c>
      <c r="G49" s="38" t="s">
        <v>3</v>
      </c>
      <c r="H49" s="7" t="s">
        <v>117</v>
      </c>
      <c r="I49" s="7">
        <v>1000</v>
      </c>
      <c r="J49" s="7">
        <v>2055</v>
      </c>
      <c r="K49" s="7">
        <v>2</v>
      </c>
      <c r="L49" s="7" t="s">
        <v>4</v>
      </c>
      <c r="M49" s="2">
        <f t="shared" si="7"/>
        <v>4110</v>
      </c>
      <c r="N49" s="7">
        <v>0</v>
      </c>
      <c r="O49" s="5">
        <f t="shared" si="1"/>
        <v>4110</v>
      </c>
      <c r="P49" s="4">
        <f t="shared" si="2"/>
        <v>739.8</v>
      </c>
      <c r="Q49" s="2">
        <f t="shared" si="3"/>
        <v>4849.8</v>
      </c>
      <c r="R49" s="7">
        <v>-426.58</v>
      </c>
      <c r="S49" s="49">
        <f t="shared" si="4"/>
        <v>4423.22</v>
      </c>
      <c r="T49" s="49">
        <v>4423.22</v>
      </c>
      <c r="U49" s="4">
        <f t="shared" si="5"/>
        <v>0</v>
      </c>
      <c r="V49" s="49">
        <v>4423.22</v>
      </c>
      <c r="W49" s="49">
        <f t="shared" si="6"/>
        <v>0</v>
      </c>
      <c r="X49" s="46"/>
    </row>
    <row r="50" spans="1:24" x14ac:dyDescent="0.25">
      <c r="A50" s="7">
        <v>49</v>
      </c>
      <c r="B50" s="48" t="s">
        <v>93</v>
      </c>
      <c r="C50" s="38" t="s">
        <v>94</v>
      </c>
      <c r="D50" s="38" t="s">
        <v>94</v>
      </c>
      <c r="E50" s="38" t="s">
        <v>92</v>
      </c>
      <c r="F50" s="38" t="s">
        <v>246</v>
      </c>
      <c r="G50" s="38" t="s">
        <v>3</v>
      </c>
      <c r="H50" s="7" t="s">
        <v>117</v>
      </c>
      <c r="I50" s="7">
        <v>1000</v>
      </c>
      <c r="J50" s="7">
        <v>1555</v>
      </c>
      <c r="K50" s="7">
        <v>2</v>
      </c>
      <c r="L50" s="7" t="s">
        <v>4</v>
      </c>
      <c r="M50" s="2">
        <f t="shared" si="7"/>
        <v>3110</v>
      </c>
      <c r="N50" s="7">
        <v>0</v>
      </c>
      <c r="O50" s="5">
        <f t="shared" si="1"/>
        <v>3110</v>
      </c>
      <c r="P50" s="4">
        <f t="shared" si="2"/>
        <v>559.79999999999995</v>
      </c>
      <c r="Q50" s="2">
        <f t="shared" si="3"/>
        <v>3669.8</v>
      </c>
      <c r="R50" s="7">
        <v>0.21</v>
      </c>
      <c r="S50" s="49">
        <f t="shared" si="4"/>
        <v>3670.01</v>
      </c>
      <c r="T50" s="49">
        <v>3670.01</v>
      </c>
      <c r="U50" s="4">
        <f t="shared" si="5"/>
        <v>0</v>
      </c>
      <c r="V50" s="49">
        <v>3670.01</v>
      </c>
      <c r="W50" s="49">
        <f t="shared" si="6"/>
        <v>0</v>
      </c>
      <c r="X50" s="46"/>
    </row>
    <row r="51" spans="1:24" x14ac:dyDescent="0.25">
      <c r="A51" s="7">
        <v>50</v>
      </c>
      <c r="B51" s="48" t="s">
        <v>298</v>
      </c>
      <c r="C51" s="38" t="s">
        <v>299</v>
      </c>
      <c r="D51" s="38" t="s">
        <v>299</v>
      </c>
      <c r="E51" s="38" t="s">
        <v>43</v>
      </c>
      <c r="F51" s="38" t="s">
        <v>236</v>
      </c>
      <c r="G51" s="38" t="s">
        <v>3</v>
      </c>
      <c r="H51" s="7" t="s">
        <v>117</v>
      </c>
      <c r="I51" s="7">
        <v>1000</v>
      </c>
      <c r="J51" s="7">
        <v>1000</v>
      </c>
      <c r="K51" s="7">
        <v>2</v>
      </c>
      <c r="L51" s="7" t="s">
        <v>4</v>
      </c>
      <c r="M51" s="2">
        <f t="shared" si="7"/>
        <v>2000</v>
      </c>
      <c r="N51" s="7">
        <v>0</v>
      </c>
      <c r="O51" s="5">
        <f t="shared" si="1"/>
        <v>2000</v>
      </c>
      <c r="P51" s="4">
        <f t="shared" si="2"/>
        <v>360</v>
      </c>
      <c r="Q51" s="2">
        <f t="shared" si="3"/>
        <v>2360</v>
      </c>
      <c r="R51" s="7">
        <v>0</v>
      </c>
      <c r="S51" s="49">
        <f t="shared" si="4"/>
        <v>2360</v>
      </c>
      <c r="T51" s="49">
        <v>2360</v>
      </c>
      <c r="U51" s="4">
        <f t="shared" si="5"/>
        <v>0</v>
      </c>
      <c r="V51" s="49">
        <v>2360</v>
      </c>
      <c r="W51" s="49">
        <f t="shared" si="6"/>
        <v>0</v>
      </c>
      <c r="X51" s="46"/>
    </row>
    <row r="52" spans="1:24" x14ac:dyDescent="0.25">
      <c r="A52" s="7">
        <v>51</v>
      </c>
      <c r="B52" s="48" t="s">
        <v>272</v>
      </c>
      <c r="C52" s="38" t="s">
        <v>273</v>
      </c>
      <c r="D52" s="38" t="s">
        <v>274</v>
      </c>
      <c r="E52" s="38" t="s">
        <v>357</v>
      </c>
      <c r="F52" s="38" t="s">
        <v>236</v>
      </c>
      <c r="G52" s="38" t="s">
        <v>3</v>
      </c>
      <c r="H52" s="7" t="s">
        <v>117</v>
      </c>
      <c r="I52" s="7">
        <v>10000</v>
      </c>
      <c r="J52" s="7">
        <v>10000</v>
      </c>
      <c r="K52" s="7">
        <v>1</v>
      </c>
      <c r="L52" s="7" t="s">
        <v>4</v>
      </c>
      <c r="M52" s="2">
        <f t="shared" si="7"/>
        <v>10000</v>
      </c>
      <c r="N52" s="7">
        <v>0</v>
      </c>
      <c r="O52" s="5">
        <f t="shared" si="1"/>
        <v>10000</v>
      </c>
      <c r="P52" s="4">
        <f t="shared" si="2"/>
        <v>1800</v>
      </c>
      <c r="Q52" s="2">
        <f t="shared" si="3"/>
        <v>11800</v>
      </c>
      <c r="R52" s="7">
        <v>-0.28000000000000003</v>
      </c>
      <c r="S52" s="49">
        <f t="shared" si="4"/>
        <v>11799.72</v>
      </c>
      <c r="T52" s="49">
        <v>11799.72</v>
      </c>
      <c r="U52" s="4">
        <f t="shared" si="5"/>
        <v>0</v>
      </c>
      <c r="V52" s="49">
        <v>11799.72</v>
      </c>
      <c r="W52" s="49">
        <f t="shared" si="6"/>
        <v>0</v>
      </c>
      <c r="X52" s="46"/>
    </row>
    <row r="53" spans="1:24" x14ac:dyDescent="0.25">
      <c r="A53" s="7">
        <v>52</v>
      </c>
      <c r="B53" s="48" t="s">
        <v>69</v>
      </c>
      <c r="C53" s="38" t="s">
        <v>70</v>
      </c>
      <c r="D53" s="38" t="s">
        <v>70</v>
      </c>
      <c r="E53" s="38" t="s">
        <v>68</v>
      </c>
      <c r="F53" s="38" t="s">
        <v>249</v>
      </c>
      <c r="G53" s="38" t="s">
        <v>3</v>
      </c>
      <c r="H53" s="7" t="s">
        <v>117</v>
      </c>
      <c r="I53" s="7">
        <v>1000</v>
      </c>
      <c r="J53" s="7">
        <v>3367</v>
      </c>
      <c r="K53" s="7">
        <v>2</v>
      </c>
      <c r="L53" s="7" t="s">
        <v>4</v>
      </c>
      <c r="M53" s="2">
        <f t="shared" si="7"/>
        <v>6734</v>
      </c>
      <c r="N53" s="7">
        <v>0</v>
      </c>
      <c r="O53" s="5">
        <f t="shared" si="1"/>
        <v>6734</v>
      </c>
      <c r="P53" s="4">
        <f t="shared" si="2"/>
        <v>1212.1199999999999</v>
      </c>
      <c r="Q53" s="2">
        <f t="shared" si="3"/>
        <v>7946.12</v>
      </c>
      <c r="R53" s="7">
        <v>-0.46</v>
      </c>
      <c r="S53" s="49">
        <f t="shared" si="4"/>
        <v>7945.66</v>
      </c>
      <c r="T53" s="49">
        <v>7945.66</v>
      </c>
      <c r="U53" s="4">
        <f t="shared" si="5"/>
        <v>0</v>
      </c>
      <c r="V53" s="49">
        <v>7945.66</v>
      </c>
      <c r="W53" s="49">
        <f t="shared" si="6"/>
        <v>0</v>
      </c>
      <c r="X53" s="46"/>
    </row>
    <row r="54" spans="1:24" x14ac:dyDescent="0.25">
      <c r="A54" s="7">
        <v>53</v>
      </c>
      <c r="B54" s="48" t="s">
        <v>82</v>
      </c>
      <c r="C54" s="38" t="s">
        <v>257</v>
      </c>
      <c r="D54" s="38" t="s">
        <v>159</v>
      </c>
      <c r="E54" s="38" t="s">
        <v>358</v>
      </c>
      <c r="F54" s="38" t="s">
        <v>246</v>
      </c>
      <c r="G54" s="38" t="s">
        <v>3</v>
      </c>
      <c r="H54" s="7" t="s">
        <v>117</v>
      </c>
      <c r="I54" s="7">
        <v>1000</v>
      </c>
      <c r="J54" s="7">
        <v>2782</v>
      </c>
      <c r="K54" s="7">
        <v>2</v>
      </c>
      <c r="L54" s="7" t="s">
        <v>4</v>
      </c>
      <c r="M54" s="2">
        <f t="shared" si="7"/>
        <v>5564</v>
      </c>
      <c r="N54" s="7">
        <v>0</v>
      </c>
      <c r="O54" s="5">
        <f t="shared" si="1"/>
        <v>5564</v>
      </c>
      <c r="P54" s="4">
        <f t="shared" si="2"/>
        <v>1001.52</v>
      </c>
      <c r="Q54" s="2">
        <f t="shared" si="3"/>
        <v>6565.52</v>
      </c>
      <c r="R54" s="7">
        <v>-0.12</v>
      </c>
      <c r="S54" s="49">
        <f t="shared" si="4"/>
        <v>6565.4000000000005</v>
      </c>
      <c r="T54" s="49">
        <v>6565.4</v>
      </c>
      <c r="U54" s="4">
        <f t="shared" si="5"/>
        <v>0</v>
      </c>
      <c r="V54" s="49">
        <v>6565.4</v>
      </c>
      <c r="W54" s="49">
        <f t="shared" si="6"/>
        <v>0</v>
      </c>
      <c r="X54" s="46"/>
    </row>
    <row r="55" spans="1:24" x14ac:dyDescent="0.25">
      <c r="A55" s="7">
        <v>54</v>
      </c>
      <c r="B55" s="48" t="s">
        <v>165</v>
      </c>
      <c r="C55" s="38" t="s">
        <v>255</v>
      </c>
      <c r="D55" s="38" t="s">
        <v>166</v>
      </c>
      <c r="E55" s="38" t="s">
        <v>49</v>
      </c>
      <c r="F55" s="38" t="s">
        <v>256</v>
      </c>
      <c r="G55" s="38" t="s">
        <v>3</v>
      </c>
      <c r="H55" s="7" t="s">
        <v>117</v>
      </c>
      <c r="I55" s="7">
        <v>1000</v>
      </c>
      <c r="J55" s="7">
        <v>1000</v>
      </c>
      <c r="K55" s="7">
        <v>1</v>
      </c>
      <c r="L55" s="7" t="s">
        <v>4</v>
      </c>
      <c r="M55" s="2">
        <f t="shared" si="7"/>
        <v>1000</v>
      </c>
      <c r="N55" s="7">
        <v>0</v>
      </c>
      <c r="O55" s="5">
        <f t="shared" si="1"/>
        <v>1000</v>
      </c>
      <c r="P55" s="4">
        <f t="shared" si="2"/>
        <v>180</v>
      </c>
      <c r="Q55" s="2">
        <f t="shared" si="3"/>
        <v>1180</v>
      </c>
      <c r="R55" s="7">
        <v>0</v>
      </c>
      <c r="S55" s="49">
        <f t="shared" si="4"/>
        <v>1180</v>
      </c>
      <c r="T55" s="49">
        <v>1180</v>
      </c>
      <c r="U55" s="4">
        <f t="shared" si="5"/>
        <v>0</v>
      </c>
      <c r="V55" s="49">
        <v>1180</v>
      </c>
      <c r="W55" s="49">
        <f t="shared" si="6"/>
        <v>0</v>
      </c>
      <c r="X55" s="46"/>
    </row>
    <row r="56" spans="1:24" x14ac:dyDescent="0.25">
      <c r="A56" s="7">
        <v>55</v>
      </c>
      <c r="B56" s="48" t="s">
        <v>21</v>
      </c>
      <c r="C56" s="38" t="s">
        <v>281</v>
      </c>
      <c r="D56" s="38" t="s">
        <v>81</v>
      </c>
      <c r="E56" s="38" t="s">
        <v>20</v>
      </c>
      <c r="F56" s="38" t="s">
        <v>246</v>
      </c>
      <c r="G56" s="38" t="s">
        <v>3</v>
      </c>
      <c r="H56" s="7" t="s">
        <v>117</v>
      </c>
      <c r="I56" s="7">
        <v>1000</v>
      </c>
      <c r="J56" s="7">
        <v>4772</v>
      </c>
      <c r="K56" s="7">
        <v>2</v>
      </c>
      <c r="L56" s="7" t="s">
        <v>4</v>
      </c>
      <c r="M56" s="2">
        <f t="shared" si="7"/>
        <v>9544</v>
      </c>
      <c r="N56" s="7">
        <v>0</v>
      </c>
      <c r="O56" s="5">
        <f t="shared" si="1"/>
        <v>9544</v>
      </c>
      <c r="P56" s="4">
        <f t="shared" si="2"/>
        <v>1717.9199999999998</v>
      </c>
      <c r="Q56" s="2">
        <f t="shared" si="3"/>
        <v>11261.92</v>
      </c>
      <c r="R56" s="7">
        <v>-0.11</v>
      </c>
      <c r="S56" s="49">
        <f t="shared" si="4"/>
        <v>11261.81</v>
      </c>
      <c r="T56" s="49">
        <v>11261.81</v>
      </c>
      <c r="U56" s="4">
        <f t="shared" si="5"/>
        <v>0</v>
      </c>
      <c r="V56" s="49">
        <v>11261.81</v>
      </c>
      <c r="W56" s="49">
        <f t="shared" si="6"/>
        <v>0</v>
      </c>
      <c r="X56" s="46"/>
    </row>
    <row r="57" spans="1:24" x14ac:dyDescent="0.25">
      <c r="A57" s="7">
        <v>56</v>
      </c>
      <c r="B57" s="48" t="s">
        <v>350</v>
      </c>
      <c r="C57" s="38" t="s">
        <v>351</v>
      </c>
      <c r="D57" s="38" t="s">
        <v>351</v>
      </c>
      <c r="E57" s="38" t="s">
        <v>352</v>
      </c>
      <c r="F57" s="38" t="s">
        <v>258</v>
      </c>
      <c r="G57" s="38" t="s">
        <v>3</v>
      </c>
      <c r="H57" s="7" t="s">
        <v>117</v>
      </c>
      <c r="I57" s="7">
        <v>1000</v>
      </c>
      <c r="J57" s="7">
        <v>1000</v>
      </c>
      <c r="K57" s="7">
        <v>2</v>
      </c>
      <c r="L57" s="7" t="s">
        <v>4</v>
      </c>
      <c r="M57" s="2">
        <f t="shared" si="7"/>
        <v>2000</v>
      </c>
      <c r="N57" s="7">
        <v>0</v>
      </c>
      <c r="O57" s="5">
        <f t="shared" si="1"/>
        <v>2000</v>
      </c>
      <c r="P57" s="4">
        <f t="shared" si="2"/>
        <v>360</v>
      </c>
      <c r="Q57" s="2">
        <f t="shared" si="3"/>
        <v>2360</v>
      </c>
      <c r="R57" s="7">
        <v>0</v>
      </c>
      <c r="S57" s="49">
        <f t="shared" si="4"/>
        <v>2360</v>
      </c>
      <c r="T57" s="49">
        <v>2360</v>
      </c>
      <c r="U57" s="4">
        <f t="shared" si="5"/>
        <v>0</v>
      </c>
      <c r="V57" s="49">
        <v>2360</v>
      </c>
      <c r="W57" s="49">
        <f t="shared" si="6"/>
        <v>0</v>
      </c>
      <c r="X57" s="46"/>
    </row>
    <row r="58" spans="1:24" x14ac:dyDescent="0.25">
      <c r="A58" s="7">
        <v>57</v>
      </c>
      <c r="B58" s="48" t="s">
        <v>355</v>
      </c>
      <c r="C58" s="38" t="s">
        <v>297</v>
      </c>
      <c r="D58" s="38" t="s">
        <v>297</v>
      </c>
      <c r="E58" s="38" t="s">
        <v>356</v>
      </c>
      <c r="F58" s="38" t="s">
        <v>240</v>
      </c>
      <c r="G58" s="38" t="s">
        <v>3</v>
      </c>
      <c r="H58" s="7" t="s">
        <v>117</v>
      </c>
      <c r="I58" s="7">
        <v>1000</v>
      </c>
      <c r="J58" s="7">
        <v>3265</v>
      </c>
      <c r="K58" s="7">
        <v>2</v>
      </c>
      <c r="L58" s="7" t="s">
        <v>4</v>
      </c>
      <c r="M58" s="2">
        <f t="shared" si="7"/>
        <v>6530</v>
      </c>
      <c r="N58" s="7">
        <v>0</v>
      </c>
      <c r="O58" s="5">
        <f t="shared" si="1"/>
        <v>6530</v>
      </c>
      <c r="P58" s="4">
        <f t="shared" si="2"/>
        <v>1175.3999999999999</v>
      </c>
      <c r="Q58" s="2">
        <f t="shared" si="3"/>
        <v>7705.4</v>
      </c>
      <c r="R58" s="7">
        <v>0</v>
      </c>
      <c r="S58" s="49">
        <f t="shared" si="4"/>
        <v>7705.4</v>
      </c>
      <c r="T58" s="49">
        <v>7705.4</v>
      </c>
      <c r="U58" s="4">
        <f t="shared" si="5"/>
        <v>0</v>
      </c>
      <c r="V58" s="49">
        <v>7705.4</v>
      </c>
      <c r="W58" s="49">
        <f t="shared" si="6"/>
        <v>0</v>
      </c>
      <c r="X58" s="46"/>
    </row>
    <row r="59" spans="1:24" x14ac:dyDescent="0.25">
      <c r="A59" s="7">
        <v>58</v>
      </c>
      <c r="B59" s="48" t="s">
        <v>211</v>
      </c>
      <c r="C59" s="38" t="s">
        <v>227</v>
      </c>
      <c r="D59" s="38" t="s">
        <v>227</v>
      </c>
      <c r="E59" s="38" t="s">
        <v>228</v>
      </c>
      <c r="F59" s="38" t="s">
        <v>241</v>
      </c>
      <c r="G59" s="38" t="s">
        <v>3</v>
      </c>
      <c r="H59" s="7" t="s">
        <v>117</v>
      </c>
      <c r="I59" s="7">
        <v>1000</v>
      </c>
      <c r="J59" s="7">
        <v>2141</v>
      </c>
      <c r="K59" s="7">
        <v>2</v>
      </c>
      <c r="L59" s="7" t="s">
        <v>4</v>
      </c>
      <c r="M59" s="2">
        <f t="shared" si="7"/>
        <v>4282</v>
      </c>
      <c r="N59" s="7">
        <v>0</v>
      </c>
      <c r="O59" s="5">
        <f t="shared" si="1"/>
        <v>4282</v>
      </c>
      <c r="P59" s="4">
        <f t="shared" si="2"/>
        <v>770.76</v>
      </c>
      <c r="Q59" s="2">
        <f t="shared" si="3"/>
        <v>5052.76</v>
      </c>
      <c r="R59" s="7">
        <v>-39.68</v>
      </c>
      <c r="S59" s="49">
        <f t="shared" si="4"/>
        <v>5013.08</v>
      </c>
      <c r="T59" s="49">
        <v>5013.08</v>
      </c>
      <c r="U59" s="4">
        <f t="shared" si="5"/>
        <v>0</v>
      </c>
      <c r="V59" s="49">
        <v>5013.08</v>
      </c>
      <c r="W59" s="49">
        <f t="shared" si="6"/>
        <v>0</v>
      </c>
      <c r="X59" s="46"/>
    </row>
    <row r="60" spans="1:24" x14ac:dyDescent="0.25">
      <c r="A60" s="7">
        <v>59</v>
      </c>
      <c r="B60" s="48" t="s">
        <v>326</v>
      </c>
      <c r="C60" s="38" t="s">
        <v>327</v>
      </c>
      <c r="D60" s="38" t="s">
        <v>327</v>
      </c>
      <c r="E60" s="38" t="s">
        <v>328</v>
      </c>
      <c r="F60" s="38" t="s">
        <v>247</v>
      </c>
      <c r="G60" s="38" t="s">
        <v>3</v>
      </c>
      <c r="H60" s="7" t="s">
        <v>117</v>
      </c>
      <c r="I60" s="7">
        <v>1000</v>
      </c>
      <c r="J60" s="7">
        <v>2386</v>
      </c>
      <c r="K60" s="7">
        <v>2</v>
      </c>
      <c r="L60" s="7" t="s">
        <v>4</v>
      </c>
      <c r="M60" s="2">
        <f t="shared" si="7"/>
        <v>4772</v>
      </c>
      <c r="N60" s="7">
        <v>0</v>
      </c>
      <c r="O60" s="5">
        <f t="shared" si="1"/>
        <v>4772</v>
      </c>
      <c r="P60" s="4">
        <f t="shared" si="2"/>
        <v>858.95999999999992</v>
      </c>
      <c r="Q60" s="2">
        <f t="shared" si="3"/>
        <v>5630.96</v>
      </c>
      <c r="R60" s="7">
        <v>0.18</v>
      </c>
      <c r="S60" s="49">
        <f t="shared" si="4"/>
        <v>5631.14</v>
      </c>
      <c r="T60" s="49">
        <v>5631.14</v>
      </c>
      <c r="U60" s="4">
        <f t="shared" si="5"/>
        <v>0</v>
      </c>
      <c r="V60" s="49">
        <v>5631.14</v>
      </c>
      <c r="W60" s="49">
        <f t="shared" si="6"/>
        <v>0</v>
      </c>
      <c r="X60" s="46"/>
    </row>
    <row r="61" spans="1:24" x14ac:dyDescent="0.25">
      <c r="A61" s="7">
        <v>60</v>
      </c>
      <c r="B61" s="48" t="s">
        <v>59</v>
      </c>
      <c r="C61" s="38" t="s">
        <v>354</v>
      </c>
      <c r="D61" s="38" t="s">
        <v>60</v>
      </c>
      <c r="E61" s="38" t="s">
        <v>58</v>
      </c>
      <c r="F61" s="38" t="s">
        <v>237</v>
      </c>
      <c r="G61" s="38" t="s">
        <v>3</v>
      </c>
      <c r="H61" s="7" t="s">
        <v>117</v>
      </c>
      <c r="I61" s="7">
        <v>1000</v>
      </c>
      <c r="J61" s="7">
        <v>1000</v>
      </c>
      <c r="K61" s="7">
        <v>1</v>
      </c>
      <c r="L61" s="7" t="s">
        <v>4</v>
      </c>
      <c r="M61" s="2">
        <f t="shared" si="7"/>
        <v>1000</v>
      </c>
      <c r="N61" s="7">
        <v>0</v>
      </c>
      <c r="O61" s="5">
        <f t="shared" si="1"/>
        <v>1000</v>
      </c>
      <c r="P61" s="4">
        <f t="shared" si="2"/>
        <v>180</v>
      </c>
      <c r="Q61" s="2">
        <f t="shared" si="3"/>
        <v>1180</v>
      </c>
      <c r="R61" s="7">
        <v>0.14000000000000001</v>
      </c>
      <c r="S61" s="49">
        <f t="shared" si="4"/>
        <v>1180.1400000000001</v>
      </c>
      <c r="T61" s="49">
        <v>1180.1400000000001</v>
      </c>
      <c r="U61" s="4">
        <f t="shared" si="5"/>
        <v>0</v>
      </c>
      <c r="V61" s="49">
        <v>1180.1400000000001</v>
      </c>
      <c r="W61" s="49">
        <f t="shared" si="6"/>
        <v>0</v>
      </c>
      <c r="X61" s="46"/>
    </row>
    <row r="62" spans="1:24" x14ac:dyDescent="0.25">
      <c r="A62" s="7">
        <v>61</v>
      </c>
      <c r="B62" s="48" t="s">
        <v>150</v>
      </c>
      <c r="C62" s="38" t="s">
        <v>440</v>
      </c>
      <c r="D62" s="38" t="s">
        <v>151</v>
      </c>
      <c r="E62" s="38" t="s">
        <v>224</v>
      </c>
      <c r="F62" s="38" t="s">
        <v>236</v>
      </c>
      <c r="G62" s="38" t="s">
        <v>3</v>
      </c>
      <c r="H62" s="7" t="s">
        <v>117</v>
      </c>
      <c r="I62" s="7">
        <v>1000</v>
      </c>
      <c r="J62" s="7">
        <v>1000</v>
      </c>
      <c r="K62" s="7">
        <v>2</v>
      </c>
      <c r="L62" s="7" t="s">
        <v>4</v>
      </c>
      <c r="M62" s="2">
        <f t="shared" si="7"/>
        <v>2000</v>
      </c>
      <c r="N62" s="7">
        <v>0</v>
      </c>
      <c r="O62" s="5">
        <f t="shared" si="1"/>
        <v>2000</v>
      </c>
      <c r="P62" s="4">
        <f t="shared" si="2"/>
        <v>360</v>
      </c>
      <c r="Q62" s="2">
        <f t="shared" si="3"/>
        <v>2360</v>
      </c>
      <c r="R62" s="7">
        <v>-0.34</v>
      </c>
      <c r="S62" s="49">
        <f t="shared" si="4"/>
        <v>2359.66</v>
      </c>
      <c r="T62" s="49">
        <v>2359.66</v>
      </c>
      <c r="U62" s="4">
        <f t="shared" si="5"/>
        <v>0</v>
      </c>
      <c r="V62" s="49">
        <v>2359.66</v>
      </c>
      <c r="W62" s="49">
        <f t="shared" si="6"/>
        <v>0</v>
      </c>
      <c r="X62" s="46"/>
    </row>
    <row r="63" spans="1:24" x14ac:dyDescent="0.25">
      <c r="A63" s="7">
        <v>62</v>
      </c>
      <c r="B63" s="48" t="s">
        <v>443</v>
      </c>
      <c r="C63" s="38" t="s">
        <v>444</v>
      </c>
      <c r="D63" s="38" t="s">
        <v>444</v>
      </c>
      <c r="E63" s="38" t="s">
        <v>445</v>
      </c>
      <c r="F63" s="38" t="s">
        <v>240</v>
      </c>
      <c r="G63" s="38" t="s">
        <v>3</v>
      </c>
      <c r="H63" s="7" t="s">
        <v>117</v>
      </c>
      <c r="I63" s="7">
        <v>1000</v>
      </c>
      <c r="J63" s="7">
        <v>2737</v>
      </c>
      <c r="K63" s="7">
        <v>2</v>
      </c>
      <c r="L63" s="7" t="s">
        <v>4</v>
      </c>
      <c r="M63" s="2">
        <f t="shared" si="7"/>
        <v>5474</v>
      </c>
      <c r="N63" s="7">
        <v>0</v>
      </c>
      <c r="O63" s="5">
        <f t="shared" si="1"/>
        <v>5474</v>
      </c>
      <c r="P63" s="4">
        <f t="shared" si="2"/>
        <v>985.31999999999994</v>
      </c>
      <c r="Q63" s="2">
        <f t="shared" si="3"/>
        <v>6459.32</v>
      </c>
      <c r="R63" s="7">
        <v>-0.14000000000000001</v>
      </c>
      <c r="S63" s="49">
        <f t="shared" si="4"/>
        <v>6459.1799999999994</v>
      </c>
      <c r="T63" s="49">
        <v>6459.18</v>
      </c>
      <c r="U63" s="4">
        <f t="shared" si="5"/>
        <v>0</v>
      </c>
      <c r="V63" s="49">
        <v>6459.18</v>
      </c>
      <c r="W63" s="49">
        <f t="shared" si="6"/>
        <v>0</v>
      </c>
      <c r="X63" s="46"/>
    </row>
    <row r="64" spans="1:24" x14ac:dyDescent="0.25">
      <c r="A64" s="7">
        <v>63</v>
      </c>
      <c r="B64" s="48" t="s">
        <v>87</v>
      </c>
      <c r="C64" s="38" t="s">
        <v>234</v>
      </c>
      <c r="D64" s="38" t="s">
        <v>234</v>
      </c>
      <c r="E64" s="38" t="s">
        <v>86</v>
      </c>
      <c r="F64" s="38" t="s">
        <v>266</v>
      </c>
      <c r="G64" s="38" t="s">
        <v>3</v>
      </c>
      <c r="H64" s="7" t="s">
        <v>117</v>
      </c>
      <c r="I64" s="7">
        <v>1000</v>
      </c>
      <c r="J64" s="7">
        <v>1493</v>
      </c>
      <c r="K64" s="7">
        <v>2</v>
      </c>
      <c r="L64" s="7" t="s">
        <v>4</v>
      </c>
      <c r="M64" s="2">
        <f t="shared" si="7"/>
        <v>2986</v>
      </c>
      <c r="N64" s="7">
        <v>0</v>
      </c>
      <c r="O64" s="5">
        <f t="shared" si="1"/>
        <v>2986</v>
      </c>
      <c r="P64" s="4">
        <f t="shared" si="2"/>
        <v>537.48</v>
      </c>
      <c r="Q64" s="2">
        <f t="shared" si="3"/>
        <v>3523.48</v>
      </c>
      <c r="R64" s="7">
        <v>-0.3</v>
      </c>
      <c r="S64" s="49">
        <f t="shared" si="4"/>
        <v>3523.18</v>
      </c>
      <c r="T64" s="49">
        <v>3523.18</v>
      </c>
      <c r="U64" s="4">
        <f t="shared" si="5"/>
        <v>0</v>
      </c>
      <c r="V64" s="49">
        <v>3523.18</v>
      </c>
      <c r="W64" s="49">
        <f t="shared" si="6"/>
        <v>0</v>
      </c>
      <c r="X64" s="46"/>
    </row>
    <row r="65" spans="1:24" x14ac:dyDescent="0.25">
      <c r="A65" s="7">
        <v>64</v>
      </c>
      <c r="B65" s="48" t="s">
        <v>147</v>
      </c>
      <c r="C65" s="38" t="s">
        <v>148</v>
      </c>
      <c r="D65" s="38" t="s">
        <v>148</v>
      </c>
      <c r="E65" s="38" t="s">
        <v>98</v>
      </c>
      <c r="F65" s="38" t="s">
        <v>237</v>
      </c>
      <c r="G65" s="38" t="s">
        <v>3</v>
      </c>
      <c r="H65" s="7" t="s">
        <v>117</v>
      </c>
      <c r="I65" s="7">
        <v>1000</v>
      </c>
      <c r="J65" s="7">
        <v>1156</v>
      </c>
      <c r="K65" s="7">
        <v>2</v>
      </c>
      <c r="L65" s="7" t="s">
        <v>4</v>
      </c>
      <c r="M65" s="2">
        <f t="shared" si="7"/>
        <v>2312</v>
      </c>
      <c r="N65" s="7">
        <v>0</v>
      </c>
      <c r="O65" s="5">
        <f t="shared" si="1"/>
        <v>2312</v>
      </c>
      <c r="P65" s="4">
        <f t="shared" si="2"/>
        <v>416.15999999999997</v>
      </c>
      <c r="Q65" s="2">
        <f t="shared" si="3"/>
        <v>2728.16</v>
      </c>
      <c r="R65" s="7">
        <v>-0.32</v>
      </c>
      <c r="S65" s="49">
        <f t="shared" si="4"/>
        <v>2727.8399999999997</v>
      </c>
      <c r="T65" s="49">
        <v>2727.84</v>
      </c>
      <c r="U65" s="4">
        <f t="shared" si="5"/>
        <v>0</v>
      </c>
      <c r="V65" s="49">
        <v>2727.84</v>
      </c>
      <c r="W65" s="49">
        <f t="shared" si="6"/>
        <v>0</v>
      </c>
      <c r="X65" s="46"/>
    </row>
    <row r="66" spans="1:24" x14ac:dyDescent="0.25">
      <c r="A66" s="7">
        <v>65</v>
      </c>
      <c r="B66" s="48" t="s">
        <v>343</v>
      </c>
      <c r="C66" s="38" t="s">
        <v>344</v>
      </c>
      <c r="D66" s="38" t="s">
        <v>345</v>
      </c>
      <c r="E66" s="38" t="s">
        <v>346</v>
      </c>
      <c r="F66" s="38" t="s">
        <v>241</v>
      </c>
      <c r="G66" s="38" t="s">
        <v>3</v>
      </c>
      <c r="H66" s="7" t="s">
        <v>117</v>
      </c>
      <c r="I66" s="7">
        <v>1000</v>
      </c>
      <c r="J66" s="7">
        <v>1000</v>
      </c>
      <c r="K66" s="7">
        <v>2</v>
      </c>
      <c r="L66" s="7" t="s">
        <v>4</v>
      </c>
      <c r="M66" s="2">
        <f t="shared" ref="M66:M97" si="8">J66*K66</f>
        <v>2000</v>
      </c>
      <c r="N66" s="7">
        <v>0</v>
      </c>
      <c r="O66" s="5">
        <f t="shared" ref="O66:O129" si="9">M66-N66</f>
        <v>2000</v>
      </c>
      <c r="P66" s="4">
        <f t="shared" si="2"/>
        <v>360</v>
      </c>
      <c r="Q66" s="2">
        <f t="shared" si="3"/>
        <v>2360</v>
      </c>
      <c r="R66" s="7">
        <v>-0.26</v>
      </c>
      <c r="S66" s="49">
        <f t="shared" si="4"/>
        <v>2359.7399999999998</v>
      </c>
      <c r="T66" s="49">
        <v>2359.7399999999998</v>
      </c>
      <c r="U66" s="4">
        <f t="shared" si="5"/>
        <v>0</v>
      </c>
      <c r="V66" s="49">
        <v>2359.7399999999998</v>
      </c>
      <c r="W66" s="49">
        <f t="shared" si="6"/>
        <v>0</v>
      </c>
      <c r="X66" s="46"/>
    </row>
    <row r="67" spans="1:24" x14ac:dyDescent="0.25">
      <c r="A67" s="7">
        <v>66</v>
      </c>
      <c r="B67" s="48" t="s">
        <v>109</v>
      </c>
      <c r="C67" s="38" t="s">
        <v>110</v>
      </c>
      <c r="D67" s="38" t="s">
        <v>110</v>
      </c>
      <c r="E67" s="38" t="s">
        <v>108</v>
      </c>
      <c r="F67" s="38" t="s">
        <v>241</v>
      </c>
      <c r="G67" s="38" t="s">
        <v>3</v>
      </c>
      <c r="H67" s="7" t="s">
        <v>117</v>
      </c>
      <c r="I67" s="7">
        <v>1000</v>
      </c>
      <c r="J67" s="7">
        <v>1000</v>
      </c>
      <c r="K67" s="7">
        <v>2</v>
      </c>
      <c r="L67" s="7" t="s">
        <v>4</v>
      </c>
      <c r="M67" s="2">
        <f t="shared" si="8"/>
        <v>2000</v>
      </c>
      <c r="N67" s="7">
        <v>0</v>
      </c>
      <c r="O67" s="5">
        <f t="shared" si="9"/>
        <v>2000</v>
      </c>
      <c r="P67" s="4">
        <f t="shared" ref="P67:P130" si="10">O67*18%</f>
        <v>360</v>
      </c>
      <c r="Q67" s="2">
        <f t="shared" ref="Q67:Q130" si="11">SUM(O67:P67)</f>
        <v>2360</v>
      </c>
      <c r="R67" s="7">
        <v>0</v>
      </c>
      <c r="S67" s="49">
        <f t="shared" ref="S67:S130" si="12">Q67+R67</f>
        <v>2360</v>
      </c>
      <c r="T67" s="49">
        <v>2360</v>
      </c>
      <c r="U67" s="4">
        <f t="shared" ref="U67:U130" si="13">S67-T67</f>
        <v>0</v>
      </c>
      <c r="V67" s="49">
        <v>2360</v>
      </c>
      <c r="W67" s="49">
        <f t="shared" ref="W67:W130" si="14">ROUND(S67-V67,2)</f>
        <v>0</v>
      </c>
      <c r="X67" s="46"/>
    </row>
    <row r="68" spans="1:24" x14ac:dyDescent="0.25">
      <c r="A68" s="7">
        <v>67</v>
      </c>
      <c r="B68" s="48" t="s">
        <v>320</v>
      </c>
      <c r="C68" s="38" t="s">
        <v>279</v>
      </c>
      <c r="D68" s="38" t="s">
        <v>321</v>
      </c>
      <c r="E68" s="38" t="s">
        <v>280</v>
      </c>
      <c r="F68" s="38" t="s">
        <v>239</v>
      </c>
      <c r="G68" s="38" t="s">
        <v>3</v>
      </c>
      <c r="H68" s="7" t="s">
        <v>117</v>
      </c>
      <c r="I68" s="7">
        <v>1000</v>
      </c>
      <c r="J68" s="7">
        <v>1094</v>
      </c>
      <c r="K68" s="7">
        <v>2</v>
      </c>
      <c r="L68" s="7" t="s">
        <v>4</v>
      </c>
      <c r="M68" s="2">
        <f t="shared" si="8"/>
        <v>2188</v>
      </c>
      <c r="N68" s="7">
        <v>0</v>
      </c>
      <c r="O68" s="5">
        <f t="shared" si="9"/>
        <v>2188</v>
      </c>
      <c r="P68" s="4">
        <f t="shared" si="10"/>
        <v>393.84</v>
      </c>
      <c r="Q68" s="2">
        <f t="shared" si="11"/>
        <v>2581.84</v>
      </c>
      <c r="R68" s="7">
        <v>-0.3</v>
      </c>
      <c r="S68" s="49">
        <f t="shared" si="12"/>
        <v>2581.54</v>
      </c>
      <c r="T68" s="49">
        <v>2581.54</v>
      </c>
      <c r="U68" s="4">
        <f t="shared" si="13"/>
        <v>0</v>
      </c>
      <c r="V68" s="49">
        <v>2581.54</v>
      </c>
      <c r="W68" s="49">
        <f t="shared" si="14"/>
        <v>0</v>
      </c>
      <c r="X68" s="46"/>
    </row>
    <row r="69" spans="1:24" x14ac:dyDescent="0.25">
      <c r="A69" s="7">
        <v>68</v>
      </c>
      <c r="B69" s="48" t="s">
        <v>11</v>
      </c>
      <c r="C69" s="38" t="s">
        <v>12</v>
      </c>
      <c r="D69" s="38" t="s">
        <v>12</v>
      </c>
      <c r="E69" s="38" t="s">
        <v>10</v>
      </c>
      <c r="F69" s="38" t="s">
        <v>241</v>
      </c>
      <c r="G69" s="38" t="s">
        <v>3</v>
      </c>
      <c r="H69" s="7" t="s">
        <v>117</v>
      </c>
      <c r="I69" s="7">
        <v>1000</v>
      </c>
      <c r="J69" s="7">
        <v>1000</v>
      </c>
      <c r="K69" s="7">
        <v>1</v>
      </c>
      <c r="L69" s="7" t="s">
        <v>4</v>
      </c>
      <c r="M69" s="2">
        <f t="shared" si="8"/>
        <v>1000</v>
      </c>
      <c r="N69" s="7">
        <v>0</v>
      </c>
      <c r="O69" s="5">
        <f t="shared" si="9"/>
        <v>1000</v>
      </c>
      <c r="P69" s="4">
        <f t="shared" si="10"/>
        <v>180</v>
      </c>
      <c r="Q69" s="2">
        <f t="shared" si="11"/>
        <v>1180</v>
      </c>
      <c r="R69" s="7">
        <v>99.86</v>
      </c>
      <c r="S69" s="49">
        <f t="shared" si="12"/>
        <v>1279.8599999999999</v>
      </c>
      <c r="T69" s="49">
        <v>1279.8599999999999</v>
      </c>
      <c r="U69" s="4">
        <f t="shared" si="13"/>
        <v>0</v>
      </c>
      <c r="V69" s="49">
        <v>1279.8599999999999</v>
      </c>
      <c r="W69" s="49">
        <f t="shared" si="14"/>
        <v>0</v>
      </c>
      <c r="X69" s="46"/>
    </row>
    <row r="70" spans="1:24" x14ac:dyDescent="0.25">
      <c r="A70" s="7">
        <v>69</v>
      </c>
      <c r="B70" s="48" t="s">
        <v>53</v>
      </c>
      <c r="C70" s="38" t="s">
        <v>54</v>
      </c>
      <c r="D70" s="38" t="s">
        <v>54</v>
      </c>
      <c r="E70" s="38" t="s">
        <v>153</v>
      </c>
      <c r="F70" s="38" t="s">
        <v>245</v>
      </c>
      <c r="G70" s="38" t="s">
        <v>3</v>
      </c>
      <c r="H70" s="7" t="s">
        <v>117</v>
      </c>
      <c r="I70" s="7">
        <v>1000</v>
      </c>
      <c r="J70" s="7">
        <v>1526</v>
      </c>
      <c r="K70" s="7">
        <v>2</v>
      </c>
      <c r="L70" s="7" t="s">
        <v>4</v>
      </c>
      <c r="M70" s="2">
        <f t="shared" si="8"/>
        <v>3052</v>
      </c>
      <c r="N70" s="7">
        <v>0</v>
      </c>
      <c r="O70" s="5">
        <f t="shared" si="9"/>
        <v>3052</v>
      </c>
      <c r="P70" s="4">
        <f t="shared" si="10"/>
        <v>549.36</v>
      </c>
      <c r="Q70" s="2">
        <f t="shared" si="11"/>
        <v>3601.36</v>
      </c>
      <c r="R70" s="7">
        <v>0.64</v>
      </c>
      <c r="S70" s="49">
        <f t="shared" si="12"/>
        <v>3602</v>
      </c>
      <c r="T70" s="49">
        <v>3602</v>
      </c>
      <c r="U70" s="4">
        <f t="shared" si="13"/>
        <v>0</v>
      </c>
      <c r="V70" s="49">
        <v>3602</v>
      </c>
      <c r="W70" s="49">
        <f t="shared" si="14"/>
        <v>0</v>
      </c>
      <c r="X70" s="46"/>
    </row>
    <row r="71" spans="1:24" x14ac:dyDescent="0.25">
      <c r="A71" s="7">
        <v>70</v>
      </c>
      <c r="B71" s="48" t="s">
        <v>89</v>
      </c>
      <c r="C71" s="38" t="s">
        <v>254</v>
      </c>
      <c r="D71" s="38" t="s">
        <v>155</v>
      </c>
      <c r="E71" s="38" t="s">
        <v>88</v>
      </c>
      <c r="F71" s="38" t="s">
        <v>246</v>
      </c>
      <c r="G71" s="38" t="s">
        <v>3</v>
      </c>
      <c r="H71" s="7" t="s">
        <v>117</v>
      </c>
      <c r="I71" s="7">
        <v>1000</v>
      </c>
      <c r="J71" s="7">
        <v>1000</v>
      </c>
      <c r="K71" s="7">
        <v>2</v>
      </c>
      <c r="L71" s="7" t="s">
        <v>4</v>
      </c>
      <c r="M71" s="2">
        <f t="shared" si="8"/>
        <v>2000</v>
      </c>
      <c r="N71" s="7">
        <v>0</v>
      </c>
      <c r="O71" s="5">
        <f t="shared" si="9"/>
        <v>2000</v>
      </c>
      <c r="P71" s="4">
        <f t="shared" si="10"/>
        <v>360</v>
      </c>
      <c r="Q71" s="2">
        <f t="shared" si="11"/>
        <v>2360</v>
      </c>
      <c r="R71" s="7">
        <v>-9.68</v>
      </c>
      <c r="S71" s="49">
        <f t="shared" si="12"/>
        <v>2350.3200000000002</v>
      </c>
      <c r="T71" s="49">
        <v>2350.3200000000002</v>
      </c>
      <c r="U71" s="4">
        <f t="shared" si="13"/>
        <v>0</v>
      </c>
      <c r="V71" s="49">
        <v>2350.3200000000002</v>
      </c>
      <c r="W71" s="49">
        <f t="shared" si="14"/>
        <v>0</v>
      </c>
      <c r="X71" s="46"/>
    </row>
    <row r="72" spans="1:24" x14ac:dyDescent="0.25">
      <c r="A72" s="7">
        <v>71</v>
      </c>
      <c r="B72" s="48" t="s">
        <v>164</v>
      </c>
      <c r="C72" s="38" t="s">
        <v>75</v>
      </c>
      <c r="D72" s="38" t="s">
        <v>75</v>
      </c>
      <c r="E72" s="38" t="s">
        <v>220</v>
      </c>
      <c r="F72" s="38" t="s">
        <v>241</v>
      </c>
      <c r="G72" s="38" t="s">
        <v>3</v>
      </c>
      <c r="H72" s="7" t="s">
        <v>117</v>
      </c>
      <c r="I72" s="7">
        <v>1000</v>
      </c>
      <c r="J72" s="7">
        <v>1569</v>
      </c>
      <c r="K72" s="7">
        <v>2</v>
      </c>
      <c r="L72" s="7" t="s">
        <v>4</v>
      </c>
      <c r="M72" s="2">
        <f t="shared" si="8"/>
        <v>3138</v>
      </c>
      <c r="N72" s="7">
        <v>0</v>
      </c>
      <c r="O72" s="5">
        <f t="shared" si="9"/>
        <v>3138</v>
      </c>
      <c r="P72" s="4">
        <f t="shared" si="10"/>
        <v>564.84</v>
      </c>
      <c r="Q72" s="2">
        <f t="shared" si="11"/>
        <v>3702.84</v>
      </c>
      <c r="R72" s="7">
        <v>-9.94</v>
      </c>
      <c r="S72" s="49">
        <f t="shared" si="12"/>
        <v>3692.9</v>
      </c>
      <c r="T72" s="49">
        <v>3692.9</v>
      </c>
      <c r="U72" s="4">
        <f t="shared" si="13"/>
        <v>0</v>
      </c>
      <c r="V72" s="49">
        <v>3692.9</v>
      </c>
      <c r="W72" s="49">
        <f t="shared" si="14"/>
        <v>0</v>
      </c>
      <c r="X72" s="46"/>
    </row>
    <row r="73" spans="1:24" x14ac:dyDescent="0.25">
      <c r="A73" s="7">
        <v>72</v>
      </c>
      <c r="B73" s="48" t="s">
        <v>8</v>
      </c>
      <c r="C73" s="38" t="s">
        <v>9</v>
      </c>
      <c r="D73" s="38" t="s">
        <v>9</v>
      </c>
      <c r="E73" s="38" t="s">
        <v>7</v>
      </c>
      <c r="F73" s="38" t="s">
        <v>243</v>
      </c>
      <c r="G73" s="38" t="s">
        <v>3</v>
      </c>
      <c r="H73" s="7" t="s">
        <v>117</v>
      </c>
      <c r="I73" s="7">
        <v>1000</v>
      </c>
      <c r="J73" s="7">
        <v>1000</v>
      </c>
      <c r="K73" s="7">
        <v>2</v>
      </c>
      <c r="L73" s="7" t="s">
        <v>4</v>
      </c>
      <c r="M73" s="2">
        <f t="shared" si="8"/>
        <v>2000</v>
      </c>
      <c r="N73" s="7">
        <v>0</v>
      </c>
      <c r="O73" s="5">
        <f t="shared" si="9"/>
        <v>2000</v>
      </c>
      <c r="P73" s="4">
        <f t="shared" si="10"/>
        <v>360</v>
      </c>
      <c r="Q73" s="2">
        <f t="shared" si="11"/>
        <v>2360</v>
      </c>
      <c r="R73" s="7">
        <v>240.4</v>
      </c>
      <c r="S73" s="49">
        <f t="shared" si="12"/>
        <v>2600.4</v>
      </c>
      <c r="T73" s="49">
        <v>2600.4</v>
      </c>
      <c r="U73" s="4">
        <f t="shared" si="13"/>
        <v>0</v>
      </c>
      <c r="V73" s="49">
        <v>2600.4</v>
      </c>
      <c r="W73" s="49">
        <f t="shared" si="14"/>
        <v>0</v>
      </c>
      <c r="X73" s="46"/>
    </row>
    <row r="74" spans="1:24" x14ac:dyDescent="0.25">
      <c r="A74" s="7">
        <v>73</v>
      </c>
      <c r="B74" s="48" t="s">
        <v>116</v>
      </c>
      <c r="C74" s="38" t="s">
        <v>411</v>
      </c>
      <c r="D74" s="38" t="s">
        <v>118</v>
      </c>
      <c r="E74" s="38" t="s">
        <v>230</v>
      </c>
      <c r="F74" s="38" t="s">
        <v>251</v>
      </c>
      <c r="G74" s="38" t="s">
        <v>3</v>
      </c>
      <c r="H74" s="7" t="s">
        <v>117</v>
      </c>
      <c r="I74" s="7">
        <v>1000</v>
      </c>
      <c r="J74" s="7">
        <v>1000</v>
      </c>
      <c r="K74" s="7">
        <v>2</v>
      </c>
      <c r="L74" s="7" t="s">
        <v>4</v>
      </c>
      <c r="M74" s="2">
        <f t="shared" si="8"/>
        <v>2000</v>
      </c>
      <c r="N74" s="7">
        <v>0</v>
      </c>
      <c r="O74" s="5">
        <f t="shared" si="9"/>
        <v>2000</v>
      </c>
      <c r="P74" s="4">
        <f t="shared" si="10"/>
        <v>360</v>
      </c>
      <c r="Q74" s="2">
        <f t="shared" si="11"/>
        <v>2360</v>
      </c>
      <c r="R74" s="7">
        <v>-1.7</v>
      </c>
      <c r="S74" s="49">
        <f t="shared" si="12"/>
        <v>2358.3000000000002</v>
      </c>
      <c r="T74" s="49">
        <v>2358.3000000000002</v>
      </c>
      <c r="U74" s="4">
        <f t="shared" si="13"/>
        <v>0</v>
      </c>
      <c r="V74" s="49">
        <v>2358.3000000000002</v>
      </c>
      <c r="W74" s="49">
        <f t="shared" si="14"/>
        <v>0</v>
      </c>
      <c r="X74" s="46"/>
    </row>
    <row r="75" spans="1:24" x14ac:dyDescent="0.25">
      <c r="A75" s="7">
        <v>74</v>
      </c>
      <c r="B75" s="48" t="s">
        <v>188</v>
      </c>
      <c r="C75" s="38" t="s">
        <v>180</v>
      </c>
      <c r="D75" s="38" t="s">
        <v>180</v>
      </c>
      <c r="E75" s="38" t="s">
        <v>235</v>
      </c>
      <c r="F75" s="38" t="s">
        <v>237</v>
      </c>
      <c r="G75" s="38" t="s">
        <v>3</v>
      </c>
      <c r="H75" s="7" t="s">
        <v>117</v>
      </c>
      <c r="I75" s="7">
        <v>2500</v>
      </c>
      <c r="J75" s="7">
        <v>4270</v>
      </c>
      <c r="K75" s="7">
        <v>2</v>
      </c>
      <c r="L75" s="7" t="s">
        <v>4</v>
      </c>
      <c r="M75" s="2">
        <f t="shared" si="8"/>
        <v>8540</v>
      </c>
      <c r="N75" s="7">
        <v>0</v>
      </c>
      <c r="O75" s="5">
        <f t="shared" si="9"/>
        <v>8540</v>
      </c>
      <c r="P75" s="4">
        <f t="shared" si="10"/>
        <v>1537.2</v>
      </c>
      <c r="Q75" s="2">
        <f t="shared" si="11"/>
        <v>10077.200000000001</v>
      </c>
      <c r="R75" s="7">
        <v>0.38</v>
      </c>
      <c r="S75" s="49">
        <f t="shared" si="12"/>
        <v>10077.58</v>
      </c>
      <c r="T75" s="49">
        <v>10077.58</v>
      </c>
      <c r="U75" s="4">
        <f t="shared" si="13"/>
        <v>0</v>
      </c>
      <c r="V75" s="49">
        <v>10077.58</v>
      </c>
      <c r="W75" s="49">
        <f t="shared" si="14"/>
        <v>0</v>
      </c>
      <c r="X75" s="46"/>
    </row>
    <row r="76" spans="1:24" x14ac:dyDescent="0.25">
      <c r="A76" s="7">
        <v>75</v>
      </c>
      <c r="B76" s="48" t="s">
        <v>45</v>
      </c>
      <c r="C76" s="38" t="s">
        <v>46</v>
      </c>
      <c r="D76" s="38" t="s">
        <v>46</v>
      </c>
      <c r="E76" s="38" t="s">
        <v>44</v>
      </c>
      <c r="F76" s="38" t="s">
        <v>248</v>
      </c>
      <c r="G76" s="38" t="s">
        <v>3</v>
      </c>
      <c r="H76" s="7" t="s">
        <v>117</v>
      </c>
      <c r="I76" s="7">
        <v>1000</v>
      </c>
      <c r="J76" s="7">
        <v>1821</v>
      </c>
      <c r="K76" s="7">
        <v>2</v>
      </c>
      <c r="L76" s="7" t="s">
        <v>4</v>
      </c>
      <c r="M76" s="2">
        <f t="shared" si="8"/>
        <v>3642</v>
      </c>
      <c r="N76" s="7">
        <v>0</v>
      </c>
      <c r="O76" s="5">
        <f t="shared" si="9"/>
        <v>3642</v>
      </c>
      <c r="P76" s="4">
        <f t="shared" si="10"/>
        <v>655.56</v>
      </c>
      <c r="Q76" s="2">
        <f t="shared" si="11"/>
        <v>4297.5599999999995</v>
      </c>
      <c r="R76" s="7">
        <v>0</v>
      </c>
      <c r="S76" s="49">
        <f t="shared" si="12"/>
        <v>4297.5599999999995</v>
      </c>
      <c r="T76" s="49">
        <v>4297.5600000000004</v>
      </c>
      <c r="U76" s="4">
        <f t="shared" si="13"/>
        <v>0</v>
      </c>
      <c r="V76" s="49">
        <v>4297.5600000000004</v>
      </c>
      <c r="W76" s="49">
        <f t="shared" si="14"/>
        <v>0</v>
      </c>
      <c r="X76" s="46"/>
    </row>
    <row r="77" spans="1:24" x14ac:dyDescent="0.25">
      <c r="A77" s="7">
        <v>76</v>
      </c>
      <c r="B77" s="48" t="s">
        <v>275</v>
      </c>
      <c r="C77" s="38" t="s">
        <v>276</v>
      </c>
      <c r="D77" s="38" t="s">
        <v>277</v>
      </c>
      <c r="E77" s="38" t="s">
        <v>278</v>
      </c>
      <c r="F77" s="38" t="s">
        <v>246</v>
      </c>
      <c r="G77" s="38" t="s">
        <v>3</v>
      </c>
      <c r="H77" s="7" t="s">
        <v>117</v>
      </c>
      <c r="I77" s="7">
        <v>1000</v>
      </c>
      <c r="J77" s="7">
        <v>1000</v>
      </c>
      <c r="K77" s="7">
        <v>2</v>
      </c>
      <c r="L77" s="7" t="s">
        <v>4</v>
      </c>
      <c r="M77" s="2">
        <f t="shared" si="8"/>
        <v>2000</v>
      </c>
      <c r="N77" s="7">
        <v>0</v>
      </c>
      <c r="O77" s="5">
        <f t="shared" si="9"/>
        <v>2000</v>
      </c>
      <c r="P77" s="4">
        <f t="shared" si="10"/>
        <v>360</v>
      </c>
      <c r="Q77" s="2">
        <f t="shared" si="11"/>
        <v>2360</v>
      </c>
      <c r="R77" s="7">
        <v>0</v>
      </c>
      <c r="S77" s="49">
        <f t="shared" si="12"/>
        <v>2360</v>
      </c>
      <c r="T77" s="49">
        <v>2360</v>
      </c>
      <c r="U77" s="4">
        <f t="shared" si="13"/>
        <v>0</v>
      </c>
      <c r="V77" s="49">
        <v>2360</v>
      </c>
      <c r="W77" s="49">
        <f t="shared" si="14"/>
        <v>0</v>
      </c>
      <c r="X77" s="46"/>
    </row>
    <row r="78" spans="1:24" x14ac:dyDescent="0.25">
      <c r="A78" s="7">
        <v>77</v>
      </c>
      <c r="B78" s="48" t="s">
        <v>143</v>
      </c>
      <c r="C78" s="38" t="s">
        <v>144</v>
      </c>
      <c r="D78" s="38" t="s">
        <v>144</v>
      </c>
      <c r="E78" s="38" t="s">
        <v>145</v>
      </c>
      <c r="F78" s="38" t="s">
        <v>246</v>
      </c>
      <c r="G78" s="38" t="s">
        <v>3</v>
      </c>
      <c r="H78" s="7" t="s">
        <v>117</v>
      </c>
      <c r="I78" s="7">
        <v>1000</v>
      </c>
      <c r="J78" s="7">
        <v>1276</v>
      </c>
      <c r="K78" s="7">
        <v>2</v>
      </c>
      <c r="L78" s="7" t="s">
        <v>4</v>
      </c>
      <c r="M78" s="2">
        <f t="shared" si="8"/>
        <v>2552</v>
      </c>
      <c r="N78" s="7">
        <v>0</v>
      </c>
      <c r="O78" s="5">
        <f t="shared" si="9"/>
        <v>2552</v>
      </c>
      <c r="P78" s="4">
        <f t="shared" si="10"/>
        <v>459.35999999999996</v>
      </c>
      <c r="Q78" s="2">
        <f t="shared" si="11"/>
        <v>3011.36</v>
      </c>
      <c r="R78" s="7">
        <v>0</v>
      </c>
      <c r="S78" s="49">
        <f t="shared" si="12"/>
        <v>3011.36</v>
      </c>
      <c r="T78" s="49">
        <v>3011.36</v>
      </c>
      <c r="U78" s="4">
        <f t="shared" si="13"/>
        <v>0</v>
      </c>
      <c r="V78" s="49">
        <v>3011.36</v>
      </c>
      <c r="W78" s="49">
        <f t="shared" si="14"/>
        <v>0</v>
      </c>
      <c r="X78" s="46"/>
    </row>
    <row r="79" spans="1:24" x14ac:dyDescent="0.25">
      <c r="A79" s="7">
        <v>78</v>
      </c>
      <c r="B79" s="48" t="s">
        <v>157</v>
      </c>
      <c r="C79" s="38" t="s">
        <v>6</v>
      </c>
      <c r="D79" s="38" t="s">
        <v>6</v>
      </c>
      <c r="E79" s="38" t="s">
        <v>222</v>
      </c>
      <c r="F79" s="38" t="s">
        <v>237</v>
      </c>
      <c r="G79" s="38" t="s">
        <v>3</v>
      </c>
      <c r="H79" s="7" t="s">
        <v>117</v>
      </c>
      <c r="I79" s="7">
        <v>1000</v>
      </c>
      <c r="J79" s="7">
        <v>1000</v>
      </c>
      <c r="K79" s="7">
        <v>2</v>
      </c>
      <c r="L79" s="7" t="s">
        <v>4</v>
      </c>
      <c r="M79" s="2">
        <f t="shared" si="8"/>
        <v>2000</v>
      </c>
      <c r="N79" s="7">
        <v>0</v>
      </c>
      <c r="O79" s="5">
        <f t="shared" si="9"/>
        <v>2000</v>
      </c>
      <c r="P79" s="4">
        <f t="shared" si="10"/>
        <v>360</v>
      </c>
      <c r="Q79" s="2">
        <f t="shared" si="11"/>
        <v>2360</v>
      </c>
      <c r="R79" s="7">
        <v>-0.5</v>
      </c>
      <c r="S79" s="49">
        <f t="shared" si="12"/>
        <v>2359.5</v>
      </c>
      <c r="T79" s="49">
        <v>2359.5</v>
      </c>
      <c r="U79" s="4">
        <f t="shared" si="13"/>
        <v>0</v>
      </c>
      <c r="V79" s="49">
        <v>2359.5</v>
      </c>
      <c r="W79" s="49">
        <f t="shared" si="14"/>
        <v>0</v>
      </c>
      <c r="X79" s="46"/>
    </row>
    <row r="80" spans="1:24" x14ac:dyDescent="0.25">
      <c r="A80" s="7">
        <v>79</v>
      </c>
      <c r="B80" s="48" t="s">
        <v>56</v>
      </c>
      <c r="C80" s="38" t="s">
        <v>57</v>
      </c>
      <c r="D80" s="38" t="s">
        <v>57</v>
      </c>
      <c r="E80" s="38" t="s">
        <v>55</v>
      </c>
      <c r="F80" s="38" t="s">
        <v>237</v>
      </c>
      <c r="G80" s="38" t="s">
        <v>3</v>
      </c>
      <c r="H80" s="7" t="s">
        <v>117</v>
      </c>
      <c r="I80" s="7">
        <v>1000</v>
      </c>
      <c r="J80" s="7">
        <v>1329</v>
      </c>
      <c r="K80" s="7">
        <v>2</v>
      </c>
      <c r="L80" s="7" t="s">
        <v>4</v>
      </c>
      <c r="M80" s="2">
        <f t="shared" si="8"/>
        <v>2658</v>
      </c>
      <c r="N80" s="7">
        <v>0</v>
      </c>
      <c r="O80" s="5">
        <f t="shared" si="9"/>
        <v>2658</v>
      </c>
      <c r="P80" s="4">
        <f t="shared" si="10"/>
        <v>478.44</v>
      </c>
      <c r="Q80" s="2">
        <f t="shared" si="11"/>
        <v>3136.44</v>
      </c>
      <c r="R80" s="7">
        <v>-26.12</v>
      </c>
      <c r="S80" s="49">
        <f t="shared" si="12"/>
        <v>3110.32</v>
      </c>
      <c r="T80" s="49">
        <v>3110.32</v>
      </c>
      <c r="U80" s="4">
        <f t="shared" si="13"/>
        <v>0</v>
      </c>
      <c r="V80" s="49">
        <v>3110.32</v>
      </c>
      <c r="W80" s="49">
        <f t="shared" si="14"/>
        <v>0</v>
      </c>
      <c r="X80" s="46"/>
    </row>
    <row r="81" spans="1:24" x14ac:dyDescent="0.25">
      <c r="A81" s="7">
        <v>80</v>
      </c>
      <c r="B81" s="48" t="s">
        <v>171</v>
      </c>
      <c r="C81" s="38" t="s">
        <v>5</v>
      </c>
      <c r="D81" s="38" t="s">
        <v>5</v>
      </c>
      <c r="E81" s="38" t="s">
        <v>172</v>
      </c>
      <c r="F81" s="38" t="s">
        <v>239</v>
      </c>
      <c r="G81" s="38" t="s">
        <v>3</v>
      </c>
      <c r="H81" s="7" t="s">
        <v>117</v>
      </c>
      <c r="I81" s="7">
        <v>1000</v>
      </c>
      <c r="J81" s="7">
        <v>1091</v>
      </c>
      <c r="K81" s="7">
        <v>2</v>
      </c>
      <c r="L81" s="7" t="s">
        <v>4</v>
      </c>
      <c r="M81" s="2">
        <f t="shared" si="8"/>
        <v>2182</v>
      </c>
      <c r="N81" s="7">
        <v>0</v>
      </c>
      <c r="O81" s="5">
        <f t="shared" si="9"/>
        <v>2182</v>
      </c>
      <c r="P81" s="4">
        <f t="shared" si="10"/>
        <v>392.76</v>
      </c>
      <c r="Q81" s="2">
        <f t="shared" si="11"/>
        <v>2574.7600000000002</v>
      </c>
      <c r="R81" s="7">
        <v>-0.34</v>
      </c>
      <c r="S81" s="49">
        <f t="shared" si="12"/>
        <v>2574.42</v>
      </c>
      <c r="T81" s="49">
        <v>2574.42</v>
      </c>
      <c r="U81" s="4">
        <f t="shared" si="13"/>
        <v>0</v>
      </c>
      <c r="V81" s="49">
        <v>2574.42</v>
      </c>
      <c r="W81" s="49">
        <f t="shared" si="14"/>
        <v>0</v>
      </c>
      <c r="X81" s="46"/>
    </row>
    <row r="82" spans="1:24" x14ac:dyDescent="0.25">
      <c r="A82" s="7">
        <v>81</v>
      </c>
      <c r="B82" s="48" t="s">
        <v>231</v>
      </c>
      <c r="C82" s="38" t="s">
        <v>232</v>
      </c>
      <c r="D82" s="38" t="s">
        <v>232</v>
      </c>
      <c r="E82" s="38" t="s">
        <v>233</v>
      </c>
      <c r="F82" s="38" t="s">
        <v>250</v>
      </c>
      <c r="G82" s="38" t="s">
        <v>3</v>
      </c>
      <c r="H82" s="7" t="s">
        <v>117</v>
      </c>
      <c r="I82" s="7">
        <v>1000</v>
      </c>
      <c r="J82" s="7">
        <v>2642</v>
      </c>
      <c r="K82" s="7">
        <v>2</v>
      </c>
      <c r="L82" s="7" t="s">
        <v>4</v>
      </c>
      <c r="M82" s="2">
        <f t="shared" si="8"/>
        <v>5284</v>
      </c>
      <c r="N82" s="7">
        <v>0</v>
      </c>
      <c r="O82" s="5">
        <f t="shared" si="9"/>
        <v>5284</v>
      </c>
      <c r="P82" s="4">
        <f t="shared" si="10"/>
        <v>951.12</v>
      </c>
      <c r="Q82" s="2">
        <f t="shared" si="11"/>
        <v>6235.12</v>
      </c>
      <c r="R82" s="7">
        <v>0.38</v>
      </c>
      <c r="S82" s="49">
        <f t="shared" si="12"/>
        <v>6235.5</v>
      </c>
      <c r="T82" s="49">
        <v>6235.5</v>
      </c>
      <c r="U82" s="4">
        <f t="shared" si="13"/>
        <v>0</v>
      </c>
      <c r="V82" s="49">
        <v>6235.5</v>
      </c>
      <c r="W82" s="49">
        <f t="shared" si="14"/>
        <v>0</v>
      </c>
      <c r="X82" s="46"/>
    </row>
    <row r="83" spans="1:24" x14ac:dyDescent="0.25">
      <c r="A83" s="7">
        <v>82</v>
      </c>
      <c r="B83" s="48" t="s">
        <v>162</v>
      </c>
      <c r="C83" s="38" t="s">
        <v>79</v>
      </c>
      <c r="D83" s="38" t="s">
        <v>79</v>
      </c>
      <c r="E83" s="38" t="s">
        <v>218</v>
      </c>
      <c r="F83" s="38" t="s">
        <v>236</v>
      </c>
      <c r="G83" s="38" t="s">
        <v>3</v>
      </c>
      <c r="H83" s="7" t="s">
        <v>117</v>
      </c>
      <c r="I83" s="7">
        <v>1000</v>
      </c>
      <c r="J83" s="7">
        <v>1000</v>
      </c>
      <c r="K83" s="7">
        <v>2</v>
      </c>
      <c r="L83" s="7" t="s">
        <v>4</v>
      </c>
      <c r="M83" s="2">
        <f t="shared" si="8"/>
        <v>2000</v>
      </c>
      <c r="N83" s="7">
        <v>0</v>
      </c>
      <c r="O83" s="5">
        <f t="shared" si="9"/>
        <v>2000</v>
      </c>
      <c r="P83" s="4">
        <f t="shared" si="10"/>
        <v>360</v>
      </c>
      <c r="Q83" s="2">
        <f t="shared" si="11"/>
        <v>2360</v>
      </c>
      <c r="R83" s="7">
        <v>0.4</v>
      </c>
      <c r="S83" s="49">
        <f t="shared" si="12"/>
        <v>2360.4</v>
      </c>
      <c r="T83" s="49">
        <v>2360.4</v>
      </c>
      <c r="U83" s="4">
        <f t="shared" si="13"/>
        <v>0</v>
      </c>
      <c r="V83" s="49">
        <v>2360.4</v>
      </c>
      <c r="W83" s="49">
        <f t="shared" si="14"/>
        <v>0</v>
      </c>
      <c r="X83" s="46"/>
    </row>
    <row r="84" spans="1:24" x14ac:dyDescent="0.25">
      <c r="A84" s="7">
        <v>83</v>
      </c>
      <c r="B84" s="48" t="s">
        <v>637</v>
      </c>
      <c r="C84" s="38" t="s">
        <v>638</v>
      </c>
      <c r="D84" s="38" t="s">
        <v>638</v>
      </c>
      <c r="E84" s="38" t="s">
        <v>639</v>
      </c>
      <c r="F84" s="38" t="s">
        <v>237</v>
      </c>
      <c r="G84" s="38" t="s">
        <v>3</v>
      </c>
      <c r="H84" s="7" t="s">
        <v>117</v>
      </c>
      <c r="I84" s="7">
        <v>1000</v>
      </c>
      <c r="J84" s="7">
        <v>1000</v>
      </c>
      <c r="K84" s="7">
        <v>1</v>
      </c>
      <c r="L84" s="7" t="s">
        <v>4</v>
      </c>
      <c r="M84" s="2">
        <f t="shared" si="8"/>
        <v>1000</v>
      </c>
      <c r="N84" s="7">
        <v>0</v>
      </c>
      <c r="O84" s="5">
        <f t="shared" si="9"/>
        <v>1000</v>
      </c>
      <c r="P84" s="4">
        <f t="shared" si="10"/>
        <v>180</v>
      </c>
      <c r="Q84" s="2">
        <f t="shared" si="11"/>
        <v>1180</v>
      </c>
      <c r="R84" s="7">
        <v>-2599.9</v>
      </c>
      <c r="S84" s="49">
        <f t="shared" si="12"/>
        <v>-1419.9</v>
      </c>
      <c r="T84" s="49">
        <v>-1419.9</v>
      </c>
      <c r="U84" s="4">
        <f t="shared" si="13"/>
        <v>0</v>
      </c>
      <c r="V84" s="49">
        <v>-1419.9</v>
      </c>
      <c r="W84" s="49">
        <f t="shared" si="14"/>
        <v>0</v>
      </c>
      <c r="X84" s="46"/>
    </row>
    <row r="85" spans="1:24" x14ac:dyDescent="0.25">
      <c r="A85" s="7">
        <v>84</v>
      </c>
      <c r="B85" s="48" t="s">
        <v>289</v>
      </c>
      <c r="C85" s="38" t="s">
        <v>301</v>
      </c>
      <c r="D85" s="38" t="s">
        <v>293</v>
      </c>
      <c r="E85" s="38" t="s">
        <v>294</v>
      </c>
      <c r="F85" s="38" t="s">
        <v>251</v>
      </c>
      <c r="G85" s="38" t="s">
        <v>3</v>
      </c>
      <c r="H85" s="7" t="s">
        <v>117</v>
      </c>
      <c r="I85" s="7">
        <v>1000</v>
      </c>
      <c r="J85" s="7">
        <v>1000</v>
      </c>
      <c r="K85" s="7">
        <v>1</v>
      </c>
      <c r="L85" s="7" t="s">
        <v>4</v>
      </c>
      <c r="M85" s="2">
        <f t="shared" si="8"/>
        <v>1000</v>
      </c>
      <c r="N85" s="7">
        <v>0</v>
      </c>
      <c r="O85" s="5">
        <f t="shared" si="9"/>
        <v>1000</v>
      </c>
      <c r="P85" s="4">
        <f t="shared" si="10"/>
        <v>180</v>
      </c>
      <c r="Q85" s="2">
        <f t="shared" si="11"/>
        <v>1180</v>
      </c>
      <c r="R85" s="7">
        <v>-1179.6199999999999</v>
      </c>
      <c r="S85" s="49">
        <f t="shared" si="12"/>
        <v>0.38000000000010914</v>
      </c>
      <c r="T85" s="49">
        <v>0.38</v>
      </c>
      <c r="U85" s="4">
        <f t="shared" si="13"/>
        <v>1.0913492332065289E-13</v>
      </c>
      <c r="V85" s="49">
        <v>0.38</v>
      </c>
      <c r="W85" s="49">
        <f t="shared" si="14"/>
        <v>0</v>
      </c>
      <c r="X85" s="46"/>
    </row>
    <row r="86" spans="1:24" x14ac:dyDescent="0.25">
      <c r="A86" s="7">
        <v>85</v>
      </c>
      <c r="B86" s="48" t="s">
        <v>149</v>
      </c>
      <c r="C86" s="38" t="s">
        <v>97</v>
      </c>
      <c r="D86" s="38" t="s">
        <v>97</v>
      </c>
      <c r="E86" s="38" t="s">
        <v>217</v>
      </c>
      <c r="F86" s="38" t="s">
        <v>248</v>
      </c>
      <c r="G86" s="38" t="s">
        <v>3</v>
      </c>
      <c r="H86" s="7" t="s">
        <v>117</v>
      </c>
      <c r="I86" s="7">
        <v>1000</v>
      </c>
      <c r="J86" s="7">
        <v>2016</v>
      </c>
      <c r="K86" s="7">
        <v>2</v>
      </c>
      <c r="L86" s="7" t="s">
        <v>4</v>
      </c>
      <c r="M86" s="2">
        <f t="shared" si="8"/>
        <v>4032</v>
      </c>
      <c r="N86" s="7">
        <v>0</v>
      </c>
      <c r="O86" s="5">
        <f t="shared" si="9"/>
        <v>4032</v>
      </c>
      <c r="P86" s="4">
        <f t="shared" si="10"/>
        <v>725.76</v>
      </c>
      <c r="Q86" s="2">
        <f t="shared" si="11"/>
        <v>4757.76</v>
      </c>
      <c r="R86" s="7">
        <v>0.4</v>
      </c>
      <c r="S86" s="49">
        <f t="shared" si="12"/>
        <v>4758.16</v>
      </c>
      <c r="T86" s="49">
        <v>4758.16</v>
      </c>
      <c r="U86" s="4">
        <f t="shared" si="13"/>
        <v>0</v>
      </c>
      <c r="V86" s="49">
        <v>4758.16</v>
      </c>
      <c r="W86" s="49">
        <f t="shared" si="14"/>
        <v>0</v>
      </c>
      <c r="X86" s="46"/>
    </row>
    <row r="87" spans="1:24" x14ac:dyDescent="0.25">
      <c r="A87" s="7">
        <v>86</v>
      </c>
      <c r="B87" s="48" t="s">
        <v>347</v>
      </c>
      <c r="C87" s="38" t="s">
        <v>348</v>
      </c>
      <c r="D87" s="38" t="s">
        <v>348</v>
      </c>
      <c r="E87" s="38" t="s">
        <v>349</v>
      </c>
      <c r="F87" s="38" t="s">
        <v>241</v>
      </c>
      <c r="G87" s="38" t="s">
        <v>3</v>
      </c>
      <c r="H87" s="7" t="s">
        <v>117</v>
      </c>
      <c r="I87" s="7">
        <v>1000</v>
      </c>
      <c r="J87" s="7">
        <v>1000</v>
      </c>
      <c r="K87" s="7">
        <v>1</v>
      </c>
      <c r="L87" s="7" t="s">
        <v>4</v>
      </c>
      <c r="M87" s="2">
        <f t="shared" si="8"/>
        <v>1000</v>
      </c>
      <c r="N87" s="7">
        <v>0</v>
      </c>
      <c r="O87" s="5">
        <f t="shared" si="9"/>
        <v>1000</v>
      </c>
      <c r="P87" s="4">
        <f t="shared" si="10"/>
        <v>180</v>
      </c>
      <c r="Q87" s="2">
        <f t="shared" si="11"/>
        <v>1180</v>
      </c>
      <c r="R87" s="7">
        <v>0</v>
      </c>
      <c r="S87" s="49">
        <f t="shared" si="12"/>
        <v>1180</v>
      </c>
      <c r="T87" s="49">
        <v>1180</v>
      </c>
      <c r="U87" s="4">
        <f t="shared" si="13"/>
        <v>0</v>
      </c>
      <c r="V87" s="49">
        <v>1180</v>
      </c>
      <c r="W87" s="49">
        <f t="shared" si="14"/>
        <v>0</v>
      </c>
      <c r="X87" s="46"/>
    </row>
    <row r="88" spans="1:24" x14ac:dyDescent="0.25">
      <c r="A88" s="7">
        <v>87</v>
      </c>
      <c r="B88" s="48" t="s">
        <v>100</v>
      </c>
      <c r="C88" s="38" t="s">
        <v>101</v>
      </c>
      <c r="D88" s="38" t="s">
        <v>101</v>
      </c>
      <c r="E88" s="38" t="s">
        <v>99</v>
      </c>
      <c r="F88" s="38" t="s">
        <v>237</v>
      </c>
      <c r="G88" s="38" t="s">
        <v>3</v>
      </c>
      <c r="H88" s="7" t="s">
        <v>117</v>
      </c>
      <c r="I88" s="7">
        <v>1000</v>
      </c>
      <c r="J88" s="7">
        <v>1803</v>
      </c>
      <c r="K88" s="7">
        <v>2</v>
      </c>
      <c r="L88" s="7" t="s">
        <v>4</v>
      </c>
      <c r="M88" s="2">
        <f t="shared" si="8"/>
        <v>3606</v>
      </c>
      <c r="N88" s="7">
        <v>0</v>
      </c>
      <c r="O88" s="5">
        <f t="shared" si="9"/>
        <v>3606</v>
      </c>
      <c r="P88" s="4">
        <f t="shared" si="10"/>
        <v>649.07999999999993</v>
      </c>
      <c r="Q88" s="2">
        <f t="shared" si="11"/>
        <v>4255.08</v>
      </c>
      <c r="R88" s="7">
        <v>0.44</v>
      </c>
      <c r="S88" s="49">
        <f t="shared" si="12"/>
        <v>4255.5199999999995</v>
      </c>
      <c r="T88" s="49">
        <v>4255.5200000000004</v>
      </c>
      <c r="U88" s="4">
        <f t="shared" si="13"/>
        <v>0</v>
      </c>
      <c r="V88" s="49">
        <v>4255.5200000000004</v>
      </c>
      <c r="W88" s="49">
        <f t="shared" si="14"/>
        <v>0</v>
      </c>
      <c r="X88" s="46"/>
    </row>
    <row r="89" spans="1:24" x14ac:dyDescent="0.25">
      <c r="A89" s="7">
        <v>88</v>
      </c>
      <c r="B89" s="48" t="s">
        <v>176</v>
      </c>
      <c r="C89" s="38" t="s">
        <v>177</v>
      </c>
      <c r="D89" s="38" t="s">
        <v>177</v>
      </c>
      <c r="E89" s="38" t="s">
        <v>178</v>
      </c>
      <c r="F89" s="38" t="s">
        <v>246</v>
      </c>
      <c r="G89" s="38" t="s">
        <v>3</v>
      </c>
      <c r="H89" s="7" t="s">
        <v>117</v>
      </c>
      <c r="I89" s="7">
        <v>1000</v>
      </c>
      <c r="J89" s="7">
        <v>1000</v>
      </c>
      <c r="K89" s="7">
        <v>2</v>
      </c>
      <c r="L89" s="7" t="s">
        <v>4</v>
      </c>
      <c r="M89" s="2">
        <f t="shared" si="8"/>
        <v>2000</v>
      </c>
      <c r="N89" s="7">
        <v>0</v>
      </c>
      <c r="O89" s="5">
        <f t="shared" si="9"/>
        <v>2000</v>
      </c>
      <c r="P89" s="4">
        <f t="shared" si="10"/>
        <v>360</v>
      </c>
      <c r="Q89" s="2">
        <f t="shared" si="11"/>
        <v>2360</v>
      </c>
      <c r="R89" s="7">
        <v>0.52</v>
      </c>
      <c r="S89" s="49">
        <f t="shared" si="12"/>
        <v>2360.52</v>
      </c>
      <c r="T89" s="49">
        <v>2360.52</v>
      </c>
      <c r="U89" s="4">
        <f t="shared" si="13"/>
        <v>0</v>
      </c>
      <c r="V89" s="49">
        <v>2360.52</v>
      </c>
      <c r="W89" s="49">
        <f t="shared" si="14"/>
        <v>0</v>
      </c>
      <c r="X89" s="46"/>
    </row>
    <row r="90" spans="1:24" x14ac:dyDescent="0.25">
      <c r="A90" s="7">
        <v>89</v>
      </c>
      <c r="B90" s="48" t="s">
        <v>91</v>
      </c>
      <c r="C90" s="38" t="s">
        <v>253</v>
      </c>
      <c r="D90" s="38" t="s">
        <v>139</v>
      </c>
      <c r="E90" s="38" t="s">
        <v>90</v>
      </c>
      <c r="F90" s="38" t="s">
        <v>246</v>
      </c>
      <c r="G90" s="38" t="s">
        <v>3</v>
      </c>
      <c r="H90" s="7" t="s">
        <v>117</v>
      </c>
      <c r="I90" s="7">
        <v>1000</v>
      </c>
      <c r="J90" s="7">
        <v>1000</v>
      </c>
      <c r="K90" s="7">
        <v>1</v>
      </c>
      <c r="L90" s="7" t="s">
        <v>4</v>
      </c>
      <c r="M90" s="2">
        <f t="shared" si="8"/>
        <v>1000</v>
      </c>
      <c r="N90" s="7">
        <v>0</v>
      </c>
      <c r="O90" s="5">
        <f t="shared" si="9"/>
        <v>1000</v>
      </c>
      <c r="P90" s="4">
        <f t="shared" si="10"/>
        <v>180</v>
      </c>
      <c r="Q90" s="2">
        <f t="shared" si="11"/>
        <v>1180</v>
      </c>
      <c r="R90" s="7">
        <v>0.32</v>
      </c>
      <c r="S90" s="49">
        <f t="shared" si="12"/>
        <v>1180.32</v>
      </c>
      <c r="T90" s="49">
        <v>1180.32</v>
      </c>
      <c r="U90" s="4">
        <f t="shared" si="13"/>
        <v>0</v>
      </c>
      <c r="V90" s="49">
        <v>1180.32</v>
      </c>
      <c r="W90" s="49">
        <f t="shared" si="14"/>
        <v>0</v>
      </c>
      <c r="X90" s="46"/>
    </row>
    <row r="91" spans="1:24" x14ac:dyDescent="0.25">
      <c r="A91" s="7">
        <v>90</v>
      </c>
      <c r="B91" s="48" t="s">
        <v>154</v>
      </c>
      <c r="C91" s="38" t="s">
        <v>104</v>
      </c>
      <c r="D91" s="38" t="s">
        <v>187</v>
      </c>
      <c r="E91" s="38" t="s">
        <v>288</v>
      </c>
      <c r="F91" s="38" t="s">
        <v>251</v>
      </c>
      <c r="G91" s="38" t="s">
        <v>3</v>
      </c>
      <c r="H91" s="7" t="s">
        <v>117</v>
      </c>
      <c r="I91" s="7">
        <v>1000</v>
      </c>
      <c r="J91" s="7">
        <v>1359</v>
      </c>
      <c r="K91" s="7">
        <v>2</v>
      </c>
      <c r="L91" s="7" t="s">
        <v>4</v>
      </c>
      <c r="M91" s="2">
        <f t="shared" si="8"/>
        <v>2718</v>
      </c>
      <c r="N91" s="7">
        <v>0</v>
      </c>
      <c r="O91" s="5">
        <f t="shared" si="9"/>
        <v>2718</v>
      </c>
      <c r="P91" s="4">
        <f t="shared" si="10"/>
        <v>489.24</v>
      </c>
      <c r="Q91" s="2">
        <f t="shared" si="11"/>
        <v>3207.24</v>
      </c>
      <c r="R91" s="7">
        <v>0.92</v>
      </c>
      <c r="S91" s="49">
        <f t="shared" si="12"/>
        <v>3208.16</v>
      </c>
      <c r="T91" s="49">
        <v>3208.16</v>
      </c>
      <c r="U91" s="4">
        <f t="shared" si="13"/>
        <v>0</v>
      </c>
      <c r="V91" s="49">
        <v>3208.16</v>
      </c>
      <c r="W91" s="49">
        <f t="shared" si="14"/>
        <v>0</v>
      </c>
      <c r="X91" s="46"/>
    </row>
    <row r="92" spans="1:24" x14ac:dyDescent="0.25">
      <c r="A92" s="7">
        <v>91</v>
      </c>
      <c r="B92" s="48" t="s">
        <v>174</v>
      </c>
      <c r="C92" s="38" t="s">
        <v>244</v>
      </c>
      <c r="D92" s="38" t="s">
        <v>175</v>
      </c>
      <c r="E92" s="38" t="s">
        <v>64</v>
      </c>
      <c r="F92" s="38" t="s">
        <v>237</v>
      </c>
      <c r="G92" s="38" t="s">
        <v>3</v>
      </c>
      <c r="H92" s="7" t="s">
        <v>117</v>
      </c>
      <c r="I92" s="7">
        <v>1000</v>
      </c>
      <c r="J92" s="7">
        <v>1563</v>
      </c>
      <c r="K92" s="7">
        <v>2</v>
      </c>
      <c r="L92" s="7" t="s">
        <v>4</v>
      </c>
      <c r="M92" s="2">
        <f t="shared" si="8"/>
        <v>3126</v>
      </c>
      <c r="N92" s="7">
        <v>0</v>
      </c>
      <c r="O92" s="5">
        <f t="shared" si="9"/>
        <v>3126</v>
      </c>
      <c r="P92" s="4">
        <f t="shared" si="10"/>
        <v>562.67999999999995</v>
      </c>
      <c r="Q92" s="2">
        <f t="shared" si="11"/>
        <v>3688.68</v>
      </c>
      <c r="R92" s="7">
        <v>-2.39</v>
      </c>
      <c r="S92" s="49">
        <f t="shared" si="12"/>
        <v>3686.29</v>
      </c>
      <c r="T92" s="49">
        <v>3686.29</v>
      </c>
      <c r="U92" s="4">
        <f t="shared" si="13"/>
        <v>0</v>
      </c>
      <c r="V92" s="49">
        <v>3686.29</v>
      </c>
      <c r="W92" s="49">
        <f t="shared" si="14"/>
        <v>0</v>
      </c>
      <c r="X92" s="46"/>
    </row>
    <row r="93" spans="1:24" x14ac:dyDescent="0.25">
      <c r="A93" s="7">
        <v>92</v>
      </c>
      <c r="B93" s="48" t="s">
        <v>73</v>
      </c>
      <c r="C93" s="38" t="s">
        <v>74</v>
      </c>
      <c r="D93" s="38" t="s">
        <v>74</v>
      </c>
      <c r="E93" s="38" t="s">
        <v>219</v>
      </c>
      <c r="F93" s="38" t="s">
        <v>237</v>
      </c>
      <c r="G93" s="38" t="s">
        <v>3</v>
      </c>
      <c r="H93" s="7" t="s">
        <v>117</v>
      </c>
      <c r="I93" s="7">
        <v>1000</v>
      </c>
      <c r="J93" s="7">
        <v>1000</v>
      </c>
      <c r="K93" s="7">
        <v>2</v>
      </c>
      <c r="L93" s="7" t="s">
        <v>4</v>
      </c>
      <c r="M93" s="2">
        <f t="shared" si="8"/>
        <v>2000</v>
      </c>
      <c r="N93" s="7">
        <v>0</v>
      </c>
      <c r="O93" s="5">
        <f t="shared" si="9"/>
        <v>2000</v>
      </c>
      <c r="P93" s="4">
        <f t="shared" si="10"/>
        <v>360</v>
      </c>
      <c r="Q93" s="2">
        <f t="shared" si="11"/>
        <v>2360</v>
      </c>
      <c r="R93" s="7">
        <v>0</v>
      </c>
      <c r="S93" s="49">
        <f t="shared" si="12"/>
        <v>2360</v>
      </c>
      <c r="T93" s="49">
        <v>2360</v>
      </c>
      <c r="U93" s="4">
        <f t="shared" si="13"/>
        <v>0</v>
      </c>
      <c r="V93" s="49">
        <v>2360</v>
      </c>
      <c r="W93" s="49">
        <f t="shared" si="14"/>
        <v>0</v>
      </c>
      <c r="X93" s="46"/>
    </row>
    <row r="94" spans="1:24" x14ac:dyDescent="0.25">
      <c r="A94" s="7">
        <v>93</v>
      </c>
      <c r="B94" s="48" t="s">
        <v>62</v>
      </c>
      <c r="C94" s="38" t="s">
        <v>63</v>
      </c>
      <c r="D94" s="38" t="s">
        <v>63</v>
      </c>
      <c r="E94" s="38" t="s">
        <v>229</v>
      </c>
      <c r="F94" s="38" t="s">
        <v>246</v>
      </c>
      <c r="G94" s="38" t="s">
        <v>3</v>
      </c>
      <c r="H94" s="7" t="s">
        <v>117</v>
      </c>
      <c r="I94" s="7">
        <v>1000</v>
      </c>
      <c r="J94" s="7">
        <v>1000</v>
      </c>
      <c r="K94" s="7">
        <v>2</v>
      </c>
      <c r="L94" s="7" t="s">
        <v>4</v>
      </c>
      <c r="M94" s="2">
        <f t="shared" si="8"/>
        <v>2000</v>
      </c>
      <c r="N94" s="7">
        <v>0</v>
      </c>
      <c r="O94" s="5">
        <f t="shared" si="9"/>
        <v>2000</v>
      </c>
      <c r="P94" s="4">
        <f t="shared" si="10"/>
        <v>360</v>
      </c>
      <c r="Q94" s="2">
        <f t="shared" si="11"/>
        <v>2360</v>
      </c>
      <c r="R94" s="7">
        <v>0</v>
      </c>
      <c r="S94" s="49">
        <f t="shared" si="12"/>
        <v>2360</v>
      </c>
      <c r="T94" s="49">
        <v>2360</v>
      </c>
      <c r="U94" s="4">
        <f t="shared" si="13"/>
        <v>0</v>
      </c>
      <c r="V94" s="49">
        <v>2360</v>
      </c>
      <c r="W94" s="49">
        <f t="shared" si="14"/>
        <v>0</v>
      </c>
      <c r="X94" s="46"/>
    </row>
    <row r="95" spans="1:24" x14ac:dyDescent="0.25">
      <c r="A95" s="7">
        <v>94</v>
      </c>
      <c r="B95" s="48" t="s">
        <v>335</v>
      </c>
      <c r="C95" s="38" t="s">
        <v>336</v>
      </c>
      <c r="D95" s="38" t="s">
        <v>337</v>
      </c>
      <c r="E95" s="38" t="s">
        <v>338</v>
      </c>
      <c r="F95" s="38" t="s">
        <v>249</v>
      </c>
      <c r="G95" s="38" t="s">
        <v>3</v>
      </c>
      <c r="H95" s="7" t="s">
        <v>117</v>
      </c>
      <c r="I95" s="7">
        <v>1000</v>
      </c>
      <c r="J95" s="7">
        <v>1000</v>
      </c>
      <c r="K95" s="7">
        <v>1</v>
      </c>
      <c r="L95" s="7" t="s">
        <v>4</v>
      </c>
      <c r="M95" s="2">
        <f t="shared" si="8"/>
        <v>1000</v>
      </c>
      <c r="N95" s="7">
        <v>0</v>
      </c>
      <c r="O95" s="5">
        <f t="shared" si="9"/>
        <v>1000</v>
      </c>
      <c r="P95" s="4">
        <f t="shared" si="10"/>
        <v>180</v>
      </c>
      <c r="Q95" s="2">
        <f t="shared" si="11"/>
        <v>1180</v>
      </c>
      <c r="R95" s="7">
        <v>0.1</v>
      </c>
      <c r="S95" s="49">
        <f t="shared" si="12"/>
        <v>1180.0999999999999</v>
      </c>
      <c r="T95" s="49">
        <v>1180.0999999999999</v>
      </c>
      <c r="U95" s="4">
        <f t="shared" si="13"/>
        <v>0</v>
      </c>
      <c r="V95" s="49">
        <v>1180.0999999999999</v>
      </c>
      <c r="W95" s="49">
        <f t="shared" si="14"/>
        <v>0</v>
      </c>
      <c r="X95" s="46"/>
    </row>
    <row r="96" spans="1:24" x14ac:dyDescent="0.25">
      <c r="A96" s="7">
        <v>95</v>
      </c>
      <c r="B96" s="48" t="s">
        <v>179</v>
      </c>
      <c r="C96" s="38" t="s">
        <v>85</v>
      </c>
      <c r="D96" s="38" t="s">
        <v>85</v>
      </c>
      <c r="E96" s="38" t="s">
        <v>84</v>
      </c>
      <c r="F96" s="38" t="s">
        <v>246</v>
      </c>
      <c r="G96" s="38" t="s">
        <v>3</v>
      </c>
      <c r="H96" s="7" t="s">
        <v>117</v>
      </c>
      <c r="I96" s="7">
        <v>1000</v>
      </c>
      <c r="J96" s="7">
        <v>1000</v>
      </c>
      <c r="K96" s="7">
        <v>2</v>
      </c>
      <c r="L96" s="7" t="s">
        <v>4</v>
      </c>
      <c r="M96" s="2">
        <f t="shared" si="8"/>
        <v>2000</v>
      </c>
      <c r="N96" s="7">
        <v>0</v>
      </c>
      <c r="O96" s="5">
        <f t="shared" si="9"/>
        <v>2000</v>
      </c>
      <c r="P96" s="4">
        <f t="shared" si="10"/>
        <v>360</v>
      </c>
      <c r="Q96" s="2">
        <f t="shared" si="11"/>
        <v>2360</v>
      </c>
      <c r="R96" s="7">
        <v>0</v>
      </c>
      <c r="S96" s="49">
        <f t="shared" si="12"/>
        <v>2360</v>
      </c>
      <c r="T96" s="49">
        <v>2360</v>
      </c>
      <c r="U96" s="4">
        <f t="shared" si="13"/>
        <v>0</v>
      </c>
      <c r="V96" s="49">
        <v>2360</v>
      </c>
      <c r="W96" s="49">
        <f t="shared" si="14"/>
        <v>0</v>
      </c>
      <c r="X96" s="46"/>
    </row>
    <row r="97" spans="1:24" x14ac:dyDescent="0.25">
      <c r="A97" s="7">
        <v>96</v>
      </c>
      <c r="B97" s="48" t="s">
        <v>560</v>
      </c>
      <c r="C97" s="38" t="s">
        <v>562</v>
      </c>
      <c r="D97" s="38" t="s">
        <v>562</v>
      </c>
      <c r="E97" s="38" t="s">
        <v>561</v>
      </c>
      <c r="F97" s="38" t="s">
        <v>242</v>
      </c>
      <c r="G97" s="38" t="s">
        <v>3</v>
      </c>
      <c r="H97" s="7" t="s">
        <v>117</v>
      </c>
      <c r="I97" s="7">
        <v>500</v>
      </c>
      <c r="J97" s="7">
        <v>500</v>
      </c>
      <c r="K97" s="7">
        <v>2</v>
      </c>
      <c r="L97" s="7" t="s">
        <v>4</v>
      </c>
      <c r="M97" s="2">
        <f t="shared" si="8"/>
        <v>1000</v>
      </c>
      <c r="N97" s="7">
        <v>0</v>
      </c>
      <c r="O97" s="5">
        <f t="shared" si="9"/>
        <v>1000</v>
      </c>
      <c r="P97" s="4">
        <f t="shared" si="10"/>
        <v>180</v>
      </c>
      <c r="Q97" s="2">
        <f t="shared" si="11"/>
        <v>1180</v>
      </c>
      <c r="R97" s="7">
        <v>-5062.2</v>
      </c>
      <c r="S97" s="49">
        <f t="shared" si="12"/>
        <v>-3882.2</v>
      </c>
      <c r="T97" s="49">
        <v>-3882.2</v>
      </c>
      <c r="U97" s="4">
        <f t="shared" si="13"/>
        <v>0</v>
      </c>
      <c r="V97" s="49">
        <v>-3882.2</v>
      </c>
      <c r="W97" s="49">
        <f t="shared" si="14"/>
        <v>0</v>
      </c>
      <c r="X97" s="46"/>
    </row>
    <row r="98" spans="1:24" x14ac:dyDescent="0.25">
      <c r="A98" s="7">
        <v>97</v>
      </c>
      <c r="B98" s="48" t="s">
        <v>161</v>
      </c>
      <c r="C98" s="38" t="s">
        <v>39</v>
      </c>
      <c r="D98" s="38" t="s">
        <v>39</v>
      </c>
      <c r="E98" s="38" t="s">
        <v>38</v>
      </c>
      <c r="F98" s="38" t="s">
        <v>246</v>
      </c>
      <c r="G98" s="38" t="s">
        <v>3</v>
      </c>
      <c r="H98" s="7" t="s">
        <v>117</v>
      </c>
      <c r="I98" s="7">
        <v>1000</v>
      </c>
      <c r="J98" s="7">
        <v>1869</v>
      </c>
      <c r="K98" s="7">
        <v>2</v>
      </c>
      <c r="L98" s="7" t="s">
        <v>4</v>
      </c>
      <c r="M98" s="2">
        <f t="shared" ref="M98:M111" si="15">J98*K98</f>
        <v>3738</v>
      </c>
      <c r="N98" s="7">
        <v>0</v>
      </c>
      <c r="O98" s="5">
        <f t="shared" si="9"/>
        <v>3738</v>
      </c>
      <c r="P98" s="4">
        <f t="shared" si="10"/>
        <v>672.84</v>
      </c>
      <c r="Q98" s="2">
        <f t="shared" si="11"/>
        <v>4410.84</v>
      </c>
      <c r="R98" s="7">
        <v>0.16</v>
      </c>
      <c r="S98" s="49">
        <f t="shared" si="12"/>
        <v>4411</v>
      </c>
      <c r="T98" s="49">
        <v>4411</v>
      </c>
      <c r="U98" s="4">
        <f t="shared" si="13"/>
        <v>0</v>
      </c>
      <c r="V98" s="49">
        <v>4411</v>
      </c>
      <c r="W98" s="49">
        <f t="shared" si="14"/>
        <v>0</v>
      </c>
      <c r="X98" s="46"/>
    </row>
    <row r="99" spans="1:24" x14ac:dyDescent="0.25">
      <c r="A99" s="7">
        <v>98</v>
      </c>
      <c r="B99" s="48" t="s">
        <v>142</v>
      </c>
      <c r="C99" s="38" t="s">
        <v>61</v>
      </c>
      <c r="D99" s="38" t="s">
        <v>61</v>
      </c>
      <c r="E99" s="38" t="s">
        <v>223</v>
      </c>
      <c r="F99" s="38" t="s">
        <v>245</v>
      </c>
      <c r="G99" s="38" t="s">
        <v>3</v>
      </c>
      <c r="H99" s="7" t="s">
        <v>117</v>
      </c>
      <c r="I99" s="7">
        <v>1000</v>
      </c>
      <c r="J99" s="7">
        <v>1399</v>
      </c>
      <c r="K99" s="7">
        <v>2</v>
      </c>
      <c r="L99" s="7" t="s">
        <v>4</v>
      </c>
      <c r="M99" s="2">
        <f t="shared" si="15"/>
        <v>2798</v>
      </c>
      <c r="N99" s="7">
        <v>0</v>
      </c>
      <c r="O99" s="5">
        <f t="shared" si="9"/>
        <v>2798</v>
      </c>
      <c r="P99" s="4">
        <f t="shared" si="10"/>
        <v>503.64</v>
      </c>
      <c r="Q99" s="2">
        <f t="shared" si="11"/>
        <v>3301.64</v>
      </c>
      <c r="R99" s="7">
        <v>-0.08</v>
      </c>
      <c r="S99" s="49">
        <f t="shared" si="12"/>
        <v>3301.56</v>
      </c>
      <c r="T99" s="49">
        <v>3301.56</v>
      </c>
      <c r="U99" s="4">
        <f t="shared" si="13"/>
        <v>0</v>
      </c>
      <c r="V99" s="49">
        <v>3301.56</v>
      </c>
      <c r="W99" s="49">
        <f t="shared" si="14"/>
        <v>0</v>
      </c>
      <c r="X99" s="46"/>
    </row>
    <row r="100" spans="1:24" x14ac:dyDescent="0.25">
      <c r="A100" s="7">
        <v>99</v>
      </c>
      <c r="B100" s="48" t="s">
        <v>140</v>
      </c>
      <c r="C100" s="38" t="s">
        <v>141</v>
      </c>
      <c r="D100" s="38" t="s">
        <v>141</v>
      </c>
      <c r="E100" s="38" t="s">
        <v>308</v>
      </c>
      <c r="F100" s="38" t="s">
        <v>240</v>
      </c>
      <c r="G100" s="38" t="s">
        <v>3</v>
      </c>
      <c r="H100" s="7" t="s">
        <v>117</v>
      </c>
      <c r="I100" s="7">
        <v>1000</v>
      </c>
      <c r="J100" s="7">
        <v>1000</v>
      </c>
      <c r="K100" s="7">
        <v>2</v>
      </c>
      <c r="L100" s="7" t="s">
        <v>4</v>
      </c>
      <c r="M100" s="2">
        <f t="shared" si="15"/>
        <v>2000</v>
      </c>
      <c r="N100" s="7">
        <v>0</v>
      </c>
      <c r="O100" s="5">
        <f t="shared" si="9"/>
        <v>2000</v>
      </c>
      <c r="P100" s="4">
        <f t="shared" si="10"/>
        <v>360</v>
      </c>
      <c r="Q100" s="2">
        <f t="shared" si="11"/>
        <v>2360</v>
      </c>
      <c r="R100" s="7">
        <v>-0.3</v>
      </c>
      <c r="S100" s="49">
        <f t="shared" si="12"/>
        <v>2359.6999999999998</v>
      </c>
      <c r="T100" s="49">
        <v>2359.6999999999998</v>
      </c>
      <c r="U100" s="4">
        <f t="shared" si="13"/>
        <v>0</v>
      </c>
      <c r="V100" s="49">
        <v>2359.6999999999998</v>
      </c>
      <c r="W100" s="49">
        <f t="shared" si="14"/>
        <v>0</v>
      </c>
      <c r="X100" s="46"/>
    </row>
    <row r="101" spans="1:24" x14ac:dyDescent="0.25">
      <c r="A101" s="7">
        <v>100</v>
      </c>
      <c r="B101" s="48" t="s">
        <v>29</v>
      </c>
      <c r="C101" s="38" t="s">
        <v>137</v>
      </c>
      <c r="D101" s="38" t="s">
        <v>30</v>
      </c>
      <c r="E101" s="38" t="s">
        <v>28</v>
      </c>
      <c r="F101" s="38" t="s">
        <v>246</v>
      </c>
      <c r="G101" s="38" t="s">
        <v>3</v>
      </c>
      <c r="H101" s="7" t="s">
        <v>117</v>
      </c>
      <c r="I101" s="7">
        <v>1000</v>
      </c>
      <c r="J101" s="7">
        <v>1000</v>
      </c>
      <c r="K101" s="7">
        <v>2</v>
      </c>
      <c r="L101" s="7" t="s">
        <v>4</v>
      </c>
      <c r="M101" s="2">
        <f t="shared" si="15"/>
        <v>2000</v>
      </c>
      <c r="N101" s="7">
        <v>0</v>
      </c>
      <c r="O101" s="5">
        <f t="shared" si="9"/>
        <v>2000</v>
      </c>
      <c r="P101" s="4">
        <f t="shared" si="10"/>
        <v>360</v>
      </c>
      <c r="Q101" s="2">
        <f t="shared" si="11"/>
        <v>2360</v>
      </c>
      <c r="R101" s="7">
        <v>-0.1</v>
      </c>
      <c r="S101" s="49">
        <f t="shared" si="12"/>
        <v>2359.9</v>
      </c>
      <c r="T101" s="49">
        <v>2359.9</v>
      </c>
      <c r="U101" s="4">
        <f t="shared" si="13"/>
        <v>0</v>
      </c>
      <c r="V101" s="49">
        <v>2359.9</v>
      </c>
      <c r="W101" s="49">
        <f t="shared" si="14"/>
        <v>0</v>
      </c>
      <c r="X101" s="46"/>
    </row>
    <row r="102" spans="1:24" x14ac:dyDescent="0.25">
      <c r="A102" s="7">
        <v>101</v>
      </c>
      <c r="B102" s="48" t="s">
        <v>80</v>
      </c>
      <c r="C102" s="38" t="s">
        <v>414</v>
      </c>
      <c r="D102" s="38" t="s">
        <v>200</v>
      </c>
      <c r="E102" s="38" t="s">
        <v>295</v>
      </c>
      <c r="F102" s="38" t="s">
        <v>237</v>
      </c>
      <c r="G102" s="38" t="s">
        <v>3</v>
      </c>
      <c r="H102" s="7" t="s">
        <v>117</v>
      </c>
      <c r="I102" s="7">
        <v>1000</v>
      </c>
      <c r="J102" s="7">
        <v>1000</v>
      </c>
      <c r="K102" s="7">
        <v>1</v>
      </c>
      <c r="L102" s="7" t="s">
        <v>4</v>
      </c>
      <c r="M102" s="2">
        <f t="shared" si="15"/>
        <v>1000</v>
      </c>
      <c r="N102" s="7">
        <v>0</v>
      </c>
      <c r="O102" s="5">
        <f t="shared" si="9"/>
        <v>1000</v>
      </c>
      <c r="P102" s="4">
        <f t="shared" si="10"/>
        <v>180</v>
      </c>
      <c r="Q102" s="2">
        <f t="shared" si="11"/>
        <v>1180</v>
      </c>
      <c r="R102" s="7">
        <v>-8260.15</v>
      </c>
      <c r="S102" s="49">
        <f t="shared" si="12"/>
        <v>-7080.15</v>
      </c>
      <c r="T102" s="49">
        <v>-7080.15</v>
      </c>
      <c r="U102" s="4">
        <f t="shared" si="13"/>
        <v>0</v>
      </c>
      <c r="V102" s="49">
        <v>-7080.15</v>
      </c>
      <c r="W102" s="49">
        <f t="shared" si="14"/>
        <v>0</v>
      </c>
      <c r="X102" s="46"/>
    </row>
    <row r="103" spans="1:24" x14ac:dyDescent="0.25">
      <c r="A103" s="7">
        <v>102</v>
      </c>
      <c r="B103" s="48" t="s">
        <v>384</v>
      </c>
      <c r="C103" s="38" t="s">
        <v>385</v>
      </c>
      <c r="D103" s="38" t="s">
        <v>386</v>
      </c>
      <c r="E103" s="38" t="s">
        <v>387</v>
      </c>
      <c r="F103" s="38" t="s">
        <v>237</v>
      </c>
      <c r="G103" s="38" t="s">
        <v>3</v>
      </c>
      <c r="H103" s="7" t="s">
        <v>117</v>
      </c>
      <c r="I103" s="7">
        <v>1000</v>
      </c>
      <c r="J103" s="7">
        <v>1384</v>
      </c>
      <c r="K103" s="7">
        <v>2</v>
      </c>
      <c r="L103" s="7" t="s">
        <v>4</v>
      </c>
      <c r="M103" s="2">
        <f t="shared" si="15"/>
        <v>2768</v>
      </c>
      <c r="N103" s="7">
        <v>0</v>
      </c>
      <c r="O103" s="5">
        <f t="shared" si="9"/>
        <v>2768</v>
      </c>
      <c r="P103" s="4">
        <f t="shared" si="10"/>
        <v>498.24</v>
      </c>
      <c r="Q103" s="2">
        <f t="shared" si="11"/>
        <v>3266.24</v>
      </c>
      <c r="R103" s="7">
        <v>-10776.61</v>
      </c>
      <c r="S103" s="49">
        <f t="shared" si="12"/>
        <v>-7510.3700000000008</v>
      </c>
      <c r="T103" s="49">
        <v>-7510.37</v>
      </c>
      <c r="U103" s="4">
        <f t="shared" si="13"/>
        <v>0</v>
      </c>
      <c r="V103" s="49">
        <v>-7510.37</v>
      </c>
      <c r="W103" s="49">
        <f t="shared" si="14"/>
        <v>0</v>
      </c>
      <c r="X103" s="46"/>
    </row>
    <row r="104" spans="1:24" x14ac:dyDescent="0.25">
      <c r="A104" s="7">
        <v>103</v>
      </c>
      <c r="B104" s="48" t="s">
        <v>380</v>
      </c>
      <c r="C104" s="38" t="s">
        <v>381</v>
      </c>
      <c r="D104" s="38" t="s">
        <v>382</v>
      </c>
      <c r="E104" s="38" t="s">
        <v>383</v>
      </c>
      <c r="F104" s="38" t="s">
        <v>237</v>
      </c>
      <c r="G104" s="38" t="s">
        <v>3</v>
      </c>
      <c r="H104" s="7" t="s">
        <v>307</v>
      </c>
      <c r="I104" s="7">
        <v>1000</v>
      </c>
      <c r="J104" s="7">
        <v>1884</v>
      </c>
      <c r="K104" s="7">
        <v>2</v>
      </c>
      <c r="L104" s="7" t="s">
        <v>4</v>
      </c>
      <c r="M104" s="2">
        <f t="shared" si="15"/>
        <v>3768</v>
      </c>
      <c r="N104" s="7">
        <v>0</v>
      </c>
      <c r="O104" s="5">
        <f t="shared" si="9"/>
        <v>3768</v>
      </c>
      <c r="P104" s="4">
        <f t="shared" si="10"/>
        <v>678.24</v>
      </c>
      <c r="Q104" s="2">
        <f t="shared" si="11"/>
        <v>4446.24</v>
      </c>
      <c r="R104" s="7">
        <v>-4131.8900000000003</v>
      </c>
      <c r="S104" s="49">
        <f t="shared" si="12"/>
        <v>314.34999999999945</v>
      </c>
      <c r="T104" s="49">
        <v>314.35000000000002</v>
      </c>
      <c r="U104" s="4">
        <f t="shared" si="13"/>
        <v>-5.6843418860808015E-13</v>
      </c>
      <c r="V104" s="49">
        <v>314.35000000000002</v>
      </c>
      <c r="W104" s="49">
        <f t="shared" si="14"/>
        <v>0</v>
      </c>
      <c r="X104" s="46"/>
    </row>
    <row r="105" spans="1:24" x14ac:dyDescent="0.25">
      <c r="A105" s="7">
        <v>104</v>
      </c>
      <c r="B105" s="48" t="s">
        <v>426</v>
      </c>
      <c r="C105" s="38" t="s">
        <v>427</v>
      </c>
      <c r="D105" s="38" t="s">
        <v>428</v>
      </c>
      <c r="E105" s="38" t="s">
        <v>429</v>
      </c>
      <c r="F105" s="38" t="s">
        <v>237</v>
      </c>
      <c r="G105" s="38" t="s">
        <v>3</v>
      </c>
      <c r="H105" s="7" t="s">
        <v>307</v>
      </c>
      <c r="I105" s="7">
        <v>500</v>
      </c>
      <c r="J105" s="7">
        <v>500</v>
      </c>
      <c r="K105" s="7">
        <v>3</v>
      </c>
      <c r="L105" s="7" t="s">
        <v>4</v>
      </c>
      <c r="M105" s="2">
        <f t="shared" si="15"/>
        <v>1500</v>
      </c>
      <c r="N105" s="7">
        <v>0</v>
      </c>
      <c r="O105" s="5">
        <f t="shared" si="9"/>
        <v>1500</v>
      </c>
      <c r="P105" s="4">
        <f t="shared" si="10"/>
        <v>270</v>
      </c>
      <c r="Q105" s="2">
        <f t="shared" si="11"/>
        <v>1770</v>
      </c>
      <c r="R105" s="7">
        <v>-1760</v>
      </c>
      <c r="S105" s="49">
        <f t="shared" si="12"/>
        <v>10</v>
      </c>
      <c r="T105" s="49">
        <v>10</v>
      </c>
      <c r="U105" s="4">
        <f t="shared" si="13"/>
        <v>0</v>
      </c>
      <c r="V105" s="49">
        <v>10</v>
      </c>
      <c r="W105" s="49">
        <f t="shared" si="14"/>
        <v>0</v>
      </c>
      <c r="X105" s="46"/>
    </row>
    <row r="106" spans="1:24" x14ac:dyDescent="0.25">
      <c r="A106" s="7">
        <v>105</v>
      </c>
      <c r="B106" s="48" t="s">
        <v>454</v>
      </c>
      <c r="C106" s="38" t="s">
        <v>455</v>
      </c>
      <c r="D106" s="38" t="s">
        <v>455</v>
      </c>
      <c r="E106" s="38" t="s">
        <v>456</v>
      </c>
      <c r="F106" s="38" t="s">
        <v>237</v>
      </c>
      <c r="G106" s="38" t="s">
        <v>3</v>
      </c>
      <c r="H106" s="7" t="s">
        <v>117</v>
      </c>
      <c r="I106" s="7">
        <v>800</v>
      </c>
      <c r="J106" s="7">
        <v>800</v>
      </c>
      <c r="K106" s="7">
        <v>2</v>
      </c>
      <c r="L106" s="7" t="s">
        <v>4</v>
      </c>
      <c r="M106" s="2">
        <f t="shared" si="15"/>
        <v>1600</v>
      </c>
      <c r="N106" s="7">
        <v>0</v>
      </c>
      <c r="O106" s="5">
        <f t="shared" si="9"/>
        <v>1600</v>
      </c>
      <c r="P106" s="4">
        <f t="shared" si="10"/>
        <v>288</v>
      </c>
      <c r="Q106" s="2">
        <f t="shared" si="11"/>
        <v>1888</v>
      </c>
      <c r="R106" s="7">
        <v>-2889.52</v>
      </c>
      <c r="S106" s="49">
        <f t="shared" si="12"/>
        <v>-1001.52</v>
      </c>
      <c r="T106" s="49">
        <v>-1001.52</v>
      </c>
      <c r="U106" s="4">
        <f t="shared" si="13"/>
        <v>0</v>
      </c>
      <c r="V106" s="49">
        <v>-1001.52</v>
      </c>
      <c r="W106" s="49">
        <f t="shared" si="14"/>
        <v>0</v>
      </c>
      <c r="X106" s="46"/>
    </row>
    <row r="107" spans="1:24" x14ac:dyDescent="0.25">
      <c r="A107" s="7">
        <v>106</v>
      </c>
      <c r="B107" s="48" t="s">
        <v>459</v>
      </c>
      <c r="C107" s="38" t="s">
        <v>460</v>
      </c>
      <c r="D107" s="38" t="s">
        <v>460</v>
      </c>
      <c r="E107" s="38" t="s">
        <v>461</v>
      </c>
      <c r="F107" s="38" t="s">
        <v>462</v>
      </c>
      <c r="G107" s="38" t="s">
        <v>3</v>
      </c>
      <c r="H107" s="7" t="s">
        <v>307</v>
      </c>
      <c r="I107" s="7">
        <v>1500</v>
      </c>
      <c r="J107" s="7">
        <v>1500</v>
      </c>
      <c r="K107" s="7">
        <v>1.5</v>
      </c>
      <c r="L107" s="7" t="s">
        <v>4</v>
      </c>
      <c r="M107" s="2">
        <f t="shared" si="15"/>
        <v>2250</v>
      </c>
      <c r="N107" s="7">
        <v>0</v>
      </c>
      <c r="O107" s="5">
        <f t="shared" si="9"/>
        <v>2250</v>
      </c>
      <c r="P107" s="4">
        <f t="shared" si="10"/>
        <v>405</v>
      </c>
      <c r="Q107" s="2">
        <f t="shared" si="11"/>
        <v>2655</v>
      </c>
      <c r="R107" s="7">
        <v>-2655</v>
      </c>
      <c r="S107" s="49">
        <f t="shared" si="12"/>
        <v>0</v>
      </c>
      <c r="T107" s="49">
        <v>0</v>
      </c>
      <c r="U107" s="4">
        <f t="shared" si="13"/>
        <v>0</v>
      </c>
      <c r="V107" s="49">
        <v>0</v>
      </c>
      <c r="W107" s="49">
        <f t="shared" si="14"/>
        <v>0</v>
      </c>
      <c r="X107" s="46"/>
    </row>
    <row r="108" spans="1:24" x14ac:dyDescent="0.25">
      <c r="A108" s="7">
        <v>107</v>
      </c>
      <c r="B108" s="48" t="s">
        <v>463</v>
      </c>
      <c r="C108" s="38" t="s">
        <v>464</v>
      </c>
      <c r="D108" s="38" t="s">
        <v>465</v>
      </c>
      <c r="E108" s="38" t="s">
        <v>466</v>
      </c>
      <c r="F108" s="38" t="s">
        <v>236</v>
      </c>
      <c r="G108" s="38" t="s">
        <v>3</v>
      </c>
      <c r="H108" s="7" t="s">
        <v>307</v>
      </c>
      <c r="I108" s="7">
        <v>650</v>
      </c>
      <c r="J108" s="7">
        <v>650</v>
      </c>
      <c r="K108" s="7">
        <v>2.5</v>
      </c>
      <c r="L108" s="7" t="s">
        <v>4</v>
      </c>
      <c r="M108" s="2">
        <f t="shared" si="15"/>
        <v>1625</v>
      </c>
      <c r="N108" s="7">
        <v>0</v>
      </c>
      <c r="O108" s="5">
        <f t="shared" si="9"/>
        <v>1625</v>
      </c>
      <c r="P108" s="4">
        <f t="shared" si="10"/>
        <v>292.5</v>
      </c>
      <c r="Q108" s="2">
        <f t="shared" si="11"/>
        <v>1917.5</v>
      </c>
      <c r="R108" s="7">
        <v>-1150.44</v>
      </c>
      <c r="S108" s="49">
        <f t="shared" si="12"/>
        <v>767.06</v>
      </c>
      <c r="T108" s="49">
        <v>767.06</v>
      </c>
      <c r="U108" s="4">
        <f t="shared" si="13"/>
        <v>0</v>
      </c>
      <c r="V108" s="49">
        <v>767.06</v>
      </c>
      <c r="W108" s="49">
        <f t="shared" si="14"/>
        <v>0</v>
      </c>
      <c r="X108" s="46"/>
    </row>
    <row r="109" spans="1:24" x14ac:dyDescent="0.25">
      <c r="A109" s="7">
        <v>108</v>
      </c>
      <c r="B109" s="48" t="s">
        <v>500</v>
      </c>
      <c r="C109" s="38" t="s">
        <v>501</v>
      </c>
      <c r="D109" s="38" t="s">
        <v>501</v>
      </c>
      <c r="E109" s="38" t="s">
        <v>502</v>
      </c>
      <c r="F109" s="38" t="s">
        <v>242</v>
      </c>
      <c r="G109" s="38" t="s">
        <v>3</v>
      </c>
      <c r="H109" s="7" t="s">
        <v>307</v>
      </c>
      <c r="I109" s="7">
        <v>1000</v>
      </c>
      <c r="J109" s="7">
        <v>1160</v>
      </c>
      <c r="K109" s="7">
        <v>2</v>
      </c>
      <c r="L109" s="7" t="s">
        <v>4</v>
      </c>
      <c r="M109" s="2">
        <f t="shared" si="15"/>
        <v>2320</v>
      </c>
      <c r="N109" s="7">
        <v>0</v>
      </c>
      <c r="O109" s="5">
        <f t="shared" si="9"/>
        <v>2320</v>
      </c>
      <c r="P109" s="4">
        <f t="shared" si="10"/>
        <v>417.59999999999997</v>
      </c>
      <c r="Q109" s="2">
        <f t="shared" si="11"/>
        <v>2737.6</v>
      </c>
      <c r="R109" s="7">
        <v>-2329.34</v>
      </c>
      <c r="S109" s="49">
        <f t="shared" si="12"/>
        <v>408.25999999999976</v>
      </c>
      <c r="T109" s="49">
        <v>408.26</v>
      </c>
      <c r="U109" s="4">
        <f t="shared" si="13"/>
        <v>0</v>
      </c>
      <c r="V109" s="49">
        <v>408.26</v>
      </c>
      <c r="W109" s="49">
        <f t="shared" si="14"/>
        <v>0</v>
      </c>
      <c r="X109" s="46"/>
    </row>
    <row r="110" spans="1:24" x14ac:dyDescent="0.25">
      <c r="A110" s="7">
        <v>109</v>
      </c>
      <c r="B110" s="48" t="s">
        <v>563</v>
      </c>
      <c r="C110" s="38" t="s">
        <v>564</v>
      </c>
      <c r="D110" s="38" t="s">
        <v>564</v>
      </c>
      <c r="E110" s="38" t="s">
        <v>565</v>
      </c>
      <c r="F110" s="38" t="s">
        <v>242</v>
      </c>
      <c r="G110" s="38" t="s">
        <v>3</v>
      </c>
      <c r="H110" s="7" t="s">
        <v>307</v>
      </c>
      <c r="I110" s="7">
        <v>500</v>
      </c>
      <c r="J110" s="7">
        <v>500</v>
      </c>
      <c r="K110" s="7">
        <v>2</v>
      </c>
      <c r="L110" s="7" t="s">
        <v>4</v>
      </c>
      <c r="M110" s="2">
        <f t="shared" si="15"/>
        <v>1000</v>
      </c>
      <c r="N110" s="7">
        <v>0</v>
      </c>
      <c r="O110" s="5">
        <f t="shared" si="9"/>
        <v>1000</v>
      </c>
      <c r="P110" s="4">
        <f t="shared" si="10"/>
        <v>180</v>
      </c>
      <c r="Q110" s="2">
        <f t="shared" si="11"/>
        <v>1180</v>
      </c>
      <c r="R110" s="7">
        <v>-5900</v>
      </c>
      <c r="S110" s="49">
        <f t="shared" si="12"/>
        <v>-4720</v>
      </c>
      <c r="T110" s="49">
        <v>-4720</v>
      </c>
      <c r="U110" s="4">
        <f t="shared" si="13"/>
        <v>0</v>
      </c>
      <c r="V110" s="49">
        <v>-4720</v>
      </c>
      <c r="W110" s="49">
        <f t="shared" si="14"/>
        <v>0</v>
      </c>
      <c r="X110" s="46"/>
    </row>
    <row r="111" spans="1:24" x14ac:dyDescent="0.25">
      <c r="A111" s="7">
        <v>110</v>
      </c>
      <c r="B111" s="48" t="s">
        <v>625</v>
      </c>
      <c r="C111" s="38" t="s">
        <v>626</v>
      </c>
      <c r="D111" s="38" t="s">
        <v>626</v>
      </c>
      <c r="E111" s="38" t="s">
        <v>627</v>
      </c>
      <c r="F111" s="38" t="s">
        <v>240</v>
      </c>
      <c r="G111" s="38" t="s">
        <v>3</v>
      </c>
      <c r="H111" s="7" t="s">
        <v>307</v>
      </c>
      <c r="I111" s="7">
        <v>500</v>
      </c>
      <c r="J111" s="7">
        <v>764</v>
      </c>
      <c r="K111" s="7">
        <v>2</v>
      </c>
      <c r="L111" s="7" t="s">
        <v>4</v>
      </c>
      <c r="M111" s="2">
        <f t="shared" si="15"/>
        <v>1528</v>
      </c>
      <c r="N111" s="7">
        <v>0</v>
      </c>
      <c r="O111" s="5">
        <f t="shared" si="9"/>
        <v>1528</v>
      </c>
      <c r="P111" s="4">
        <f t="shared" si="10"/>
        <v>275.03999999999996</v>
      </c>
      <c r="Q111" s="2">
        <f t="shared" si="11"/>
        <v>1803.04</v>
      </c>
      <c r="R111" s="7">
        <v>-5046.3900000000003</v>
      </c>
      <c r="S111" s="49">
        <f t="shared" si="12"/>
        <v>-3243.3500000000004</v>
      </c>
      <c r="T111" s="49">
        <v>-3243.35</v>
      </c>
      <c r="U111" s="4">
        <f t="shared" si="13"/>
        <v>0</v>
      </c>
      <c r="V111" s="49">
        <v>-3243.35</v>
      </c>
      <c r="W111" s="49">
        <f t="shared" si="14"/>
        <v>0</v>
      </c>
      <c r="X111" s="46"/>
    </row>
    <row r="112" spans="1:24" x14ac:dyDescent="0.25">
      <c r="A112" s="7">
        <v>111</v>
      </c>
      <c r="B112" s="48" t="s">
        <v>539</v>
      </c>
      <c r="C112" s="38" t="s">
        <v>540</v>
      </c>
      <c r="D112" s="38" t="s">
        <v>540</v>
      </c>
      <c r="E112" s="38" t="s">
        <v>545</v>
      </c>
      <c r="F112" s="38" t="s">
        <v>237</v>
      </c>
      <c r="G112" s="38" t="s">
        <v>3</v>
      </c>
      <c r="H112" s="7" t="s">
        <v>307</v>
      </c>
      <c r="I112" s="7">
        <v>800</v>
      </c>
      <c r="J112" s="7">
        <v>800</v>
      </c>
      <c r="K112" s="7">
        <v>2.5</v>
      </c>
      <c r="L112" s="7" t="s">
        <v>4</v>
      </c>
      <c r="M112" s="2">
        <f>J112*K112+250</f>
        <v>2250</v>
      </c>
      <c r="N112" s="7">
        <v>0</v>
      </c>
      <c r="O112" s="5">
        <f t="shared" si="9"/>
        <v>2250</v>
      </c>
      <c r="P112" s="4">
        <f t="shared" si="10"/>
        <v>405</v>
      </c>
      <c r="Q112" s="2">
        <f t="shared" si="11"/>
        <v>2655</v>
      </c>
      <c r="R112" s="7">
        <v>-1947.72</v>
      </c>
      <c r="S112" s="49">
        <f t="shared" si="12"/>
        <v>707.28</v>
      </c>
      <c r="T112" s="49">
        <v>707.28</v>
      </c>
      <c r="U112" s="4">
        <f t="shared" si="13"/>
        <v>0</v>
      </c>
      <c r="V112" s="49">
        <v>707.28</v>
      </c>
      <c r="W112" s="49">
        <f t="shared" si="14"/>
        <v>0</v>
      </c>
      <c r="X112" s="46"/>
    </row>
    <row r="113" spans="1:24" x14ac:dyDescent="0.25">
      <c r="A113" s="7">
        <v>112</v>
      </c>
      <c r="B113" s="48" t="s">
        <v>602</v>
      </c>
      <c r="C113" s="38" t="s">
        <v>604</v>
      </c>
      <c r="D113" s="38" t="s">
        <v>604</v>
      </c>
      <c r="E113" s="38" t="s">
        <v>603</v>
      </c>
      <c r="F113" s="38" t="s">
        <v>241</v>
      </c>
      <c r="G113" s="38" t="s">
        <v>3</v>
      </c>
      <c r="H113" s="7" t="s">
        <v>307</v>
      </c>
      <c r="I113" s="7">
        <v>500</v>
      </c>
      <c r="J113" s="7">
        <v>500</v>
      </c>
      <c r="K113" s="7">
        <v>1.5</v>
      </c>
      <c r="L113" s="7" t="s">
        <v>4</v>
      </c>
      <c r="M113" s="2">
        <f t="shared" ref="M113:M119" si="16">J113*K113</f>
        <v>750</v>
      </c>
      <c r="N113" s="7">
        <v>0</v>
      </c>
      <c r="O113" s="5">
        <f t="shared" si="9"/>
        <v>750</v>
      </c>
      <c r="P113" s="4">
        <f t="shared" si="10"/>
        <v>135</v>
      </c>
      <c r="Q113" s="2">
        <f t="shared" si="11"/>
        <v>885</v>
      </c>
      <c r="R113" s="7">
        <v>-6275</v>
      </c>
      <c r="S113" s="49">
        <f t="shared" si="12"/>
        <v>-5390</v>
      </c>
      <c r="T113" s="49">
        <v>-5390</v>
      </c>
      <c r="U113" s="4">
        <f t="shared" si="13"/>
        <v>0</v>
      </c>
      <c r="V113" s="49">
        <v>-5390</v>
      </c>
      <c r="W113" s="49">
        <f t="shared" si="14"/>
        <v>0</v>
      </c>
      <c r="X113" s="46"/>
    </row>
    <row r="114" spans="1:24" x14ac:dyDescent="0.25">
      <c r="A114" s="7">
        <v>113</v>
      </c>
      <c r="B114" s="48" t="s">
        <v>613</v>
      </c>
      <c r="C114" s="38" t="s">
        <v>615</v>
      </c>
      <c r="D114" s="38" t="s">
        <v>615</v>
      </c>
      <c r="E114" s="38" t="s">
        <v>614</v>
      </c>
      <c r="F114" s="38" t="s">
        <v>237</v>
      </c>
      <c r="G114" s="38" t="s">
        <v>3</v>
      </c>
      <c r="H114" s="7" t="s">
        <v>307</v>
      </c>
      <c r="I114" s="7">
        <v>500</v>
      </c>
      <c r="J114" s="7">
        <v>522</v>
      </c>
      <c r="K114" s="7">
        <v>1.5</v>
      </c>
      <c r="L114" s="7" t="s">
        <v>4</v>
      </c>
      <c r="M114" s="2">
        <f t="shared" si="16"/>
        <v>783</v>
      </c>
      <c r="N114" s="7">
        <v>0</v>
      </c>
      <c r="O114" s="5">
        <f t="shared" si="9"/>
        <v>783</v>
      </c>
      <c r="P114" s="4">
        <f t="shared" si="10"/>
        <v>140.94</v>
      </c>
      <c r="Q114" s="2">
        <f t="shared" si="11"/>
        <v>923.94</v>
      </c>
      <c r="R114" s="7">
        <v>-7431.31</v>
      </c>
      <c r="S114" s="49">
        <f t="shared" si="12"/>
        <v>-6507.3700000000008</v>
      </c>
      <c r="T114" s="49">
        <v>-6507.37</v>
      </c>
      <c r="U114" s="4">
        <f t="shared" si="13"/>
        <v>0</v>
      </c>
      <c r="V114" s="49">
        <v>-6507.37</v>
      </c>
      <c r="W114" s="49">
        <f t="shared" si="14"/>
        <v>0</v>
      </c>
      <c r="X114" s="46"/>
    </row>
    <row r="115" spans="1:24" x14ac:dyDescent="0.25">
      <c r="A115" s="7">
        <v>114</v>
      </c>
      <c r="B115" s="48" t="s">
        <v>617</v>
      </c>
      <c r="C115" s="38" t="s">
        <v>618</v>
      </c>
      <c r="D115" s="38" t="s">
        <v>618</v>
      </c>
      <c r="E115" s="38" t="s">
        <v>619</v>
      </c>
      <c r="F115" s="38" t="s">
        <v>237</v>
      </c>
      <c r="G115" s="38" t="s">
        <v>3</v>
      </c>
      <c r="H115" s="7" t="s">
        <v>307</v>
      </c>
      <c r="I115" s="7">
        <v>500</v>
      </c>
      <c r="J115" s="7">
        <v>1061</v>
      </c>
      <c r="K115" s="7">
        <v>2</v>
      </c>
      <c r="L115" s="7" t="s">
        <v>4</v>
      </c>
      <c r="M115" s="2">
        <f t="shared" si="16"/>
        <v>2122</v>
      </c>
      <c r="N115" s="7">
        <v>0</v>
      </c>
      <c r="O115" s="5">
        <f t="shared" si="9"/>
        <v>2122</v>
      </c>
      <c r="P115" s="4">
        <f t="shared" si="10"/>
        <v>381.96</v>
      </c>
      <c r="Q115" s="2">
        <f t="shared" si="11"/>
        <v>2503.96</v>
      </c>
      <c r="R115" s="7">
        <v>-4906.4399999999996</v>
      </c>
      <c r="S115" s="49">
        <f t="shared" si="12"/>
        <v>-2402.4799999999996</v>
      </c>
      <c r="T115" s="49">
        <v>-2402.48</v>
      </c>
      <c r="U115" s="4">
        <f t="shared" si="13"/>
        <v>0</v>
      </c>
      <c r="V115" s="49">
        <v>-2402.48</v>
      </c>
      <c r="W115" s="49">
        <f t="shared" si="14"/>
        <v>0</v>
      </c>
      <c r="X115" s="46"/>
    </row>
    <row r="116" spans="1:24" x14ac:dyDescent="0.25">
      <c r="A116" s="7">
        <v>115</v>
      </c>
      <c r="B116" s="48" t="s">
        <v>622</v>
      </c>
      <c r="C116" s="38" t="s">
        <v>623</v>
      </c>
      <c r="D116" s="38" t="s">
        <v>623</v>
      </c>
      <c r="E116" s="38" t="s">
        <v>624</v>
      </c>
      <c r="F116" s="38" t="s">
        <v>241</v>
      </c>
      <c r="G116" s="38" t="s">
        <v>3</v>
      </c>
      <c r="H116" s="7" t="s">
        <v>307</v>
      </c>
      <c r="I116" s="7">
        <v>500</v>
      </c>
      <c r="J116" s="7">
        <v>500</v>
      </c>
      <c r="K116" s="7">
        <v>1.5</v>
      </c>
      <c r="L116" s="7" t="s">
        <v>4</v>
      </c>
      <c r="M116" s="2">
        <f t="shared" si="16"/>
        <v>750</v>
      </c>
      <c r="N116" s="7">
        <v>0</v>
      </c>
      <c r="O116" s="5">
        <f t="shared" si="9"/>
        <v>750</v>
      </c>
      <c r="P116" s="4">
        <f t="shared" si="10"/>
        <v>135</v>
      </c>
      <c r="Q116" s="2">
        <f t="shared" si="11"/>
        <v>885</v>
      </c>
      <c r="R116" s="7">
        <v>-8045</v>
      </c>
      <c r="S116" s="49">
        <f t="shared" si="12"/>
        <v>-7160</v>
      </c>
      <c r="T116" s="49">
        <v>-7160</v>
      </c>
      <c r="U116" s="4">
        <f t="shared" si="13"/>
        <v>0</v>
      </c>
      <c r="V116" s="49">
        <v>-7160</v>
      </c>
      <c r="W116" s="49">
        <f t="shared" si="14"/>
        <v>0</v>
      </c>
      <c r="X116" s="46"/>
    </row>
    <row r="117" spans="1:24" x14ac:dyDescent="0.25">
      <c r="A117" s="7">
        <v>116</v>
      </c>
      <c r="B117" s="48" t="s">
        <v>594</v>
      </c>
      <c r="C117" s="38" t="s">
        <v>595</v>
      </c>
      <c r="D117" s="38" t="s">
        <v>595</v>
      </c>
      <c r="E117" s="38" t="s">
        <v>596</v>
      </c>
      <c r="F117" s="38" t="s">
        <v>237</v>
      </c>
      <c r="G117" s="38" t="s">
        <v>3</v>
      </c>
      <c r="H117" s="7" t="s">
        <v>307</v>
      </c>
      <c r="I117" s="7">
        <v>500</v>
      </c>
      <c r="J117" s="7">
        <v>500</v>
      </c>
      <c r="K117" s="7">
        <v>2.5</v>
      </c>
      <c r="L117" s="7" t="s">
        <v>4</v>
      </c>
      <c r="M117" s="2">
        <f t="shared" si="16"/>
        <v>1250</v>
      </c>
      <c r="N117" s="7">
        <v>0</v>
      </c>
      <c r="O117" s="5">
        <f t="shared" si="9"/>
        <v>1250</v>
      </c>
      <c r="P117" s="4">
        <f t="shared" si="10"/>
        <v>225</v>
      </c>
      <c r="Q117" s="2">
        <f t="shared" si="11"/>
        <v>1475</v>
      </c>
      <c r="R117" s="7">
        <v>-6431</v>
      </c>
      <c r="S117" s="49">
        <f t="shared" si="12"/>
        <v>-4956</v>
      </c>
      <c r="T117" s="49">
        <v>-4956</v>
      </c>
      <c r="U117" s="4">
        <f t="shared" si="13"/>
        <v>0</v>
      </c>
      <c r="V117" s="49">
        <v>-4956</v>
      </c>
      <c r="W117" s="49">
        <f t="shared" si="14"/>
        <v>0</v>
      </c>
      <c r="X117" s="46"/>
    </row>
    <row r="118" spans="1:24" x14ac:dyDescent="0.25">
      <c r="A118" s="7">
        <v>117</v>
      </c>
      <c r="B118" s="48" t="s">
        <v>209</v>
      </c>
      <c r="C118" s="38" t="s">
        <v>215</v>
      </c>
      <c r="D118" s="38" t="s">
        <v>216</v>
      </c>
      <c r="E118" s="38" t="s">
        <v>191</v>
      </c>
      <c r="F118" s="38" t="s">
        <v>247</v>
      </c>
      <c r="G118" s="38" t="s">
        <v>3</v>
      </c>
      <c r="H118" s="7" t="s">
        <v>117</v>
      </c>
      <c r="I118" s="7">
        <v>1000</v>
      </c>
      <c r="J118" s="7">
        <v>2247</v>
      </c>
      <c r="K118" s="7">
        <v>2</v>
      </c>
      <c r="L118" s="7" t="s">
        <v>4</v>
      </c>
      <c r="M118" s="2">
        <f t="shared" si="16"/>
        <v>4494</v>
      </c>
      <c r="N118" s="7">
        <v>0</v>
      </c>
      <c r="O118" s="5">
        <f t="shared" si="9"/>
        <v>4494</v>
      </c>
      <c r="P118" s="4">
        <f t="shared" si="10"/>
        <v>808.92</v>
      </c>
      <c r="Q118" s="2">
        <f t="shared" si="11"/>
        <v>5302.92</v>
      </c>
      <c r="R118" s="7">
        <v>-0.46</v>
      </c>
      <c r="S118" s="49">
        <f t="shared" si="12"/>
        <v>5302.46</v>
      </c>
      <c r="T118" s="49">
        <v>5302.46</v>
      </c>
      <c r="U118" s="4">
        <f t="shared" si="13"/>
        <v>0</v>
      </c>
      <c r="V118" s="49">
        <v>5302.46</v>
      </c>
      <c r="W118" s="49">
        <f t="shared" si="14"/>
        <v>0</v>
      </c>
      <c r="X118" s="46"/>
    </row>
    <row r="119" spans="1:24" x14ac:dyDescent="0.25">
      <c r="A119" s="7">
        <v>118</v>
      </c>
      <c r="B119" s="48" t="s">
        <v>407</v>
      </c>
      <c r="C119" s="38" t="s">
        <v>408</v>
      </c>
      <c r="D119" s="38" t="s">
        <v>408</v>
      </c>
      <c r="E119" s="38" t="s">
        <v>409</v>
      </c>
      <c r="F119" s="38" t="s">
        <v>237</v>
      </c>
      <c r="G119" s="38" t="s">
        <v>3</v>
      </c>
      <c r="H119" s="7" t="s">
        <v>307</v>
      </c>
      <c r="I119" s="7">
        <v>1000</v>
      </c>
      <c r="J119" s="7">
        <v>3090</v>
      </c>
      <c r="K119" s="7">
        <v>2</v>
      </c>
      <c r="L119" s="7" t="s">
        <v>4</v>
      </c>
      <c r="M119" s="2">
        <f t="shared" si="16"/>
        <v>6180</v>
      </c>
      <c r="N119" s="7">
        <v>0</v>
      </c>
      <c r="O119" s="5">
        <f t="shared" si="9"/>
        <v>6180</v>
      </c>
      <c r="P119" s="4">
        <f t="shared" si="10"/>
        <v>1112.3999999999999</v>
      </c>
      <c r="Q119" s="2">
        <f t="shared" si="11"/>
        <v>7292.4</v>
      </c>
      <c r="R119" s="7">
        <v>-948.14</v>
      </c>
      <c r="S119" s="49">
        <f t="shared" si="12"/>
        <v>6344.2599999999993</v>
      </c>
      <c r="T119" s="49">
        <v>6344.26</v>
      </c>
      <c r="U119" s="4">
        <f t="shared" si="13"/>
        <v>0</v>
      </c>
      <c r="V119" s="49">
        <v>6344.26</v>
      </c>
      <c r="W119" s="49">
        <f t="shared" si="14"/>
        <v>0</v>
      </c>
      <c r="X119" s="46"/>
    </row>
    <row r="120" spans="1:24" x14ac:dyDescent="0.25">
      <c r="A120" s="7">
        <v>119</v>
      </c>
      <c r="B120" s="48" t="s">
        <v>123</v>
      </c>
      <c r="C120" s="38" t="s">
        <v>17</v>
      </c>
      <c r="D120" s="38" t="s">
        <v>17</v>
      </c>
      <c r="E120" s="38" t="s">
        <v>122</v>
      </c>
      <c r="F120" s="38" t="s">
        <v>236</v>
      </c>
      <c r="G120" s="38" t="s">
        <v>3</v>
      </c>
      <c r="H120" s="7" t="s">
        <v>307</v>
      </c>
      <c r="I120" s="7">
        <v>1000</v>
      </c>
      <c r="J120" s="7">
        <v>1000</v>
      </c>
      <c r="K120" s="7">
        <v>2.5</v>
      </c>
      <c r="L120" s="7" t="s">
        <v>4</v>
      </c>
      <c r="M120" s="2">
        <f>J120*K120+250</f>
        <v>2750</v>
      </c>
      <c r="N120" s="7">
        <v>0</v>
      </c>
      <c r="O120" s="5">
        <f t="shared" si="9"/>
        <v>2750</v>
      </c>
      <c r="P120" s="4">
        <f t="shared" si="10"/>
        <v>495</v>
      </c>
      <c r="Q120" s="2">
        <f t="shared" si="11"/>
        <v>3245</v>
      </c>
      <c r="R120" s="7">
        <v>-0.22</v>
      </c>
      <c r="S120" s="49">
        <f t="shared" si="12"/>
        <v>3244.78</v>
      </c>
      <c r="T120" s="49">
        <v>3244.78</v>
      </c>
      <c r="U120" s="4">
        <f t="shared" si="13"/>
        <v>0</v>
      </c>
      <c r="V120" s="49">
        <v>3244.78</v>
      </c>
      <c r="W120" s="49">
        <f t="shared" si="14"/>
        <v>0</v>
      </c>
      <c r="X120" s="46"/>
    </row>
    <row r="121" spans="1:24" x14ac:dyDescent="0.25">
      <c r="A121" s="7">
        <v>120</v>
      </c>
      <c r="B121" s="48" t="s">
        <v>152</v>
      </c>
      <c r="C121" s="38" t="s">
        <v>202</v>
      </c>
      <c r="D121" s="38" t="s">
        <v>202</v>
      </c>
      <c r="E121" s="38" t="s">
        <v>42</v>
      </c>
      <c r="F121" s="38" t="s">
        <v>237</v>
      </c>
      <c r="G121" s="38" t="s">
        <v>3</v>
      </c>
      <c r="H121" s="7" t="s">
        <v>307</v>
      </c>
      <c r="I121" s="7">
        <v>1000</v>
      </c>
      <c r="J121" s="7">
        <v>1000</v>
      </c>
      <c r="K121" s="7">
        <v>2.5</v>
      </c>
      <c r="L121" s="7" t="s">
        <v>4</v>
      </c>
      <c r="M121" s="2">
        <f t="shared" ref="M121:M130" si="17">J121*K121</f>
        <v>2500</v>
      </c>
      <c r="N121" s="7">
        <v>0</v>
      </c>
      <c r="O121" s="5">
        <f t="shared" si="9"/>
        <v>2500</v>
      </c>
      <c r="P121" s="4">
        <f t="shared" si="10"/>
        <v>450</v>
      </c>
      <c r="Q121" s="2">
        <f t="shared" si="11"/>
        <v>2950</v>
      </c>
      <c r="R121" s="7">
        <v>-0.08</v>
      </c>
      <c r="S121" s="49">
        <f t="shared" si="12"/>
        <v>2949.92</v>
      </c>
      <c r="T121" s="49">
        <v>2949.92</v>
      </c>
      <c r="U121" s="4">
        <f t="shared" si="13"/>
        <v>0</v>
      </c>
      <c r="V121" s="49">
        <v>2949.92</v>
      </c>
      <c r="W121" s="49">
        <f t="shared" si="14"/>
        <v>0</v>
      </c>
      <c r="X121" s="46"/>
    </row>
    <row r="122" spans="1:24" x14ac:dyDescent="0.25">
      <c r="A122" s="7">
        <v>121</v>
      </c>
      <c r="B122" s="48" t="s">
        <v>173</v>
      </c>
      <c r="C122" s="38" t="s">
        <v>40</v>
      </c>
      <c r="D122" s="38" t="s">
        <v>41</v>
      </c>
      <c r="E122" s="38" t="s">
        <v>40</v>
      </c>
      <c r="F122" s="38" t="s">
        <v>242</v>
      </c>
      <c r="G122" s="38" t="s">
        <v>3</v>
      </c>
      <c r="H122" s="7" t="s">
        <v>307</v>
      </c>
      <c r="I122" s="7">
        <v>1000</v>
      </c>
      <c r="J122" s="7">
        <v>2086</v>
      </c>
      <c r="K122" s="7">
        <v>2</v>
      </c>
      <c r="L122" s="7" t="s">
        <v>4</v>
      </c>
      <c r="M122" s="2">
        <f t="shared" si="17"/>
        <v>4172</v>
      </c>
      <c r="N122" s="7">
        <v>0</v>
      </c>
      <c r="O122" s="5">
        <f t="shared" si="9"/>
        <v>4172</v>
      </c>
      <c r="P122" s="4">
        <f t="shared" si="10"/>
        <v>750.95999999999992</v>
      </c>
      <c r="Q122" s="2">
        <f t="shared" si="11"/>
        <v>4922.96</v>
      </c>
      <c r="R122" s="7">
        <v>-0.19</v>
      </c>
      <c r="S122" s="49">
        <f t="shared" si="12"/>
        <v>4922.7700000000004</v>
      </c>
      <c r="T122" s="49">
        <v>4922.7700000000004</v>
      </c>
      <c r="U122" s="4">
        <f t="shared" si="13"/>
        <v>0</v>
      </c>
      <c r="V122" s="49">
        <v>4922.7700000000004</v>
      </c>
      <c r="W122" s="49">
        <f t="shared" si="14"/>
        <v>0</v>
      </c>
      <c r="X122" s="46"/>
    </row>
    <row r="123" spans="1:24" x14ac:dyDescent="0.25">
      <c r="A123" s="7">
        <v>122</v>
      </c>
      <c r="B123" s="48" t="s">
        <v>365</v>
      </c>
      <c r="C123" s="38" t="s">
        <v>366</v>
      </c>
      <c r="D123" s="38" t="s">
        <v>367</v>
      </c>
      <c r="E123" s="38" t="s">
        <v>368</v>
      </c>
      <c r="F123" s="38" t="s">
        <v>237</v>
      </c>
      <c r="G123" s="38" t="s">
        <v>3</v>
      </c>
      <c r="H123" s="7" t="s">
        <v>307</v>
      </c>
      <c r="I123" s="7">
        <v>20000</v>
      </c>
      <c r="J123" s="7">
        <v>20000</v>
      </c>
      <c r="K123" s="7">
        <v>1</v>
      </c>
      <c r="L123" s="7" t="s">
        <v>4</v>
      </c>
      <c r="M123" s="2">
        <f t="shared" si="17"/>
        <v>20000</v>
      </c>
      <c r="N123" s="7">
        <v>0</v>
      </c>
      <c r="O123" s="5">
        <f t="shared" si="9"/>
        <v>20000</v>
      </c>
      <c r="P123" s="4">
        <f t="shared" si="10"/>
        <v>3600</v>
      </c>
      <c r="Q123" s="2">
        <f t="shared" si="11"/>
        <v>23600</v>
      </c>
      <c r="R123" s="7">
        <v>0.01</v>
      </c>
      <c r="S123" s="49">
        <f t="shared" si="12"/>
        <v>23600.01</v>
      </c>
      <c r="T123" s="49">
        <v>23600.01</v>
      </c>
      <c r="U123" s="4">
        <f t="shared" si="13"/>
        <v>0</v>
      </c>
      <c r="V123" s="49">
        <v>23600.01</v>
      </c>
      <c r="W123" s="49">
        <f t="shared" si="14"/>
        <v>0</v>
      </c>
      <c r="X123" s="46"/>
    </row>
    <row r="124" spans="1:24" x14ac:dyDescent="0.25">
      <c r="A124" s="7">
        <v>123</v>
      </c>
      <c r="B124" s="48" t="s">
        <v>203</v>
      </c>
      <c r="C124" s="38" t="s">
        <v>204</v>
      </c>
      <c r="D124" s="38" t="s">
        <v>204</v>
      </c>
      <c r="E124" s="38" t="s">
        <v>205</v>
      </c>
      <c r="F124" s="38" t="s">
        <v>246</v>
      </c>
      <c r="G124" s="38" t="s">
        <v>3</v>
      </c>
      <c r="H124" s="7" t="s">
        <v>307</v>
      </c>
      <c r="I124" s="7">
        <v>650</v>
      </c>
      <c r="J124" s="7">
        <v>650</v>
      </c>
      <c r="K124" s="7">
        <v>3</v>
      </c>
      <c r="L124" s="7" t="s">
        <v>4</v>
      </c>
      <c r="M124" s="2">
        <f t="shared" si="17"/>
        <v>1950</v>
      </c>
      <c r="N124" s="7">
        <v>0</v>
      </c>
      <c r="O124" s="5">
        <f t="shared" si="9"/>
        <v>1950</v>
      </c>
      <c r="P124" s="4">
        <f t="shared" si="10"/>
        <v>351</v>
      </c>
      <c r="Q124" s="2">
        <f t="shared" si="11"/>
        <v>2301</v>
      </c>
      <c r="R124" s="7">
        <v>18.690000000000001</v>
      </c>
      <c r="S124" s="49">
        <f t="shared" si="12"/>
        <v>2319.69</v>
      </c>
      <c r="T124" s="49">
        <v>2319.69</v>
      </c>
      <c r="U124" s="4">
        <f t="shared" si="13"/>
        <v>0</v>
      </c>
      <c r="V124" s="49">
        <v>2319.69</v>
      </c>
      <c r="W124" s="49">
        <f t="shared" si="14"/>
        <v>0</v>
      </c>
      <c r="X124" s="46"/>
    </row>
    <row r="125" spans="1:24" x14ac:dyDescent="0.25">
      <c r="A125" s="7">
        <v>124</v>
      </c>
      <c r="B125" s="48" t="s">
        <v>114</v>
      </c>
      <c r="C125" s="38" t="s">
        <v>115</v>
      </c>
      <c r="D125" s="38" t="s">
        <v>115</v>
      </c>
      <c r="E125" s="38" t="s">
        <v>221</v>
      </c>
      <c r="F125" s="38" t="s">
        <v>236</v>
      </c>
      <c r="G125" s="38" t="s">
        <v>3</v>
      </c>
      <c r="H125" s="7" t="s">
        <v>307</v>
      </c>
      <c r="I125" s="7">
        <v>1000</v>
      </c>
      <c r="J125" s="7">
        <v>1000</v>
      </c>
      <c r="K125" s="7">
        <v>2</v>
      </c>
      <c r="L125" s="7" t="s">
        <v>4</v>
      </c>
      <c r="M125" s="2">
        <f t="shared" si="17"/>
        <v>2000</v>
      </c>
      <c r="N125" s="7">
        <v>0</v>
      </c>
      <c r="O125" s="5">
        <f t="shared" si="9"/>
        <v>2000</v>
      </c>
      <c r="P125" s="4">
        <f t="shared" si="10"/>
        <v>360</v>
      </c>
      <c r="Q125" s="2">
        <f t="shared" si="11"/>
        <v>2360</v>
      </c>
      <c r="R125" s="7">
        <v>0</v>
      </c>
      <c r="S125" s="49">
        <f t="shared" si="12"/>
        <v>2360</v>
      </c>
      <c r="T125" s="49">
        <v>2360</v>
      </c>
      <c r="U125" s="4">
        <f t="shared" si="13"/>
        <v>0</v>
      </c>
      <c r="V125" s="49">
        <v>2360</v>
      </c>
      <c r="W125" s="49">
        <f t="shared" si="14"/>
        <v>0</v>
      </c>
      <c r="X125" s="46"/>
    </row>
    <row r="126" spans="1:24" x14ac:dyDescent="0.25">
      <c r="A126" s="7">
        <v>125</v>
      </c>
      <c r="B126" s="48" t="s">
        <v>467</v>
      </c>
      <c r="C126" s="38" t="s">
        <v>468</v>
      </c>
      <c r="D126" s="38" t="s">
        <v>468</v>
      </c>
      <c r="E126" s="38" t="s">
        <v>469</v>
      </c>
      <c r="F126" s="38" t="s">
        <v>242</v>
      </c>
      <c r="G126" s="38" t="s">
        <v>3</v>
      </c>
      <c r="H126" s="7" t="s">
        <v>307</v>
      </c>
      <c r="I126" s="7">
        <v>2000</v>
      </c>
      <c r="J126" s="7">
        <v>2273</v>
      </c>
      <c r="K126" s="7">
        <v>2.5</v>
      </c>
      <c r="L126" s="7" t="s">
        <v>4</v>
      </c>
      <c r="M126" s="2">
        <f t="shared" si="17"/>
        <v>5682.5</v>
      </c>
      <c r="N126" s="7">
        <v>0</v>
      </c>
      <c r="O126" s="5">
        <f t="shared" si="9"/>
        <v>5682.5</v>
      </c>
      <c r="P126" s="4">
        <f t="shared" si="10"/>
        <v>1022.8499999999999</v>
      </c>
      <c r="Q126" s="2">
        <f t="shared" si="11"/>
        <v>6705.35</v>
      </c>
      <c r="R126" s="7">
        <v>-0.38</v>
      </c>
      <c r="S126" s="49">
        <f t="shared" si="12"/>
        <v>6704.97</v>
      </c>
      <c r="T126" s="49">
        <v>7374.62</v>
      </c>
      <c r="U126" s="4">
        <f t="shared" si="13"/>
        <v>-669.64999999999964</v>
      </c>
      <c r="V126" s="49">
        <v>6704.97</v>
      </c>
      <c r="W126" s="49">
        <f t="shared" si="14"/>
        <v>0</v>
      </c>
      <c r="X126" s="46"/>
    </row>
    <row r="127" spans="1:24" x14ac:dyDescent="0.25">
      <c r="A127" s="7">
        <v>126</v>
      </c>
      <c r="B127" s="48" t="s">
        <v>106</v>
      </c>
      <c r="C127" s="38" t="s">
        <v>107</v>
      </c>
      <c r="D127" s="38" t="s">
        <v>107</v>
      </c>
      <c r="E127" s="38" t="s">
        <v>105</v>
      </c>
      <c r="F127" s="38" t="s">
        <v>239</v>
      </c>
      <c r="G127" s="38" t="s">
        <v>3</v>
      </c>
      <c r="H127" s="7" t="s">
        <v>307</v>
      </c>
      <c r="I127" s="7">
        <v>10000</v>
      </c>
      <c r="J127" s="7">
        <v>10000</v>
      </c>
      <c r="K127" s="7">
        <v>1</v>
      </c>
      <c r="L127" s="7" t="s">
        <v>4</v>
      </c>
      <c r="M127" s="2">
        <f t="shared" si="17"/>
        <v>10000</v>
      </c>
      <c r="N127" s="7">
        <v>0</v>
      </c>
      <c r="O127" s="5">
        <f t="shared" si="9"/>
        <v>10000</v>
      </c>
      <c r="P127" s="4">
        <f t="shared" si="10"/>
        <v>1800</v>
      </c>
      <c r="Q127" s="2">
        <f t="shared" si="11"/>
        <v>11800</v>
      </c>
      <c r="R127" s="7">
        <v>-10.54</v>
      </c>
      <c r="S127" s="49">
        <f t="shared" si="12"/>
        <v>11789.46</v>
      </c>
      <c r="T127" s="49">
        <v>11789.46</v>
      </c>
      <c r="U127" s="4">
        <f t="shared" si="13"/>
        <v>0</v>
      </c>
      <c r="V127" s="49">
        <v>11789.46</v>
      </c>
      <c r="W127" s="49">
        <f t="shared" si="14"/>
        <v>0</v>
      </c>
      <c r="X127" s="46"/>
    </row>
    <row r="128" spans="1:24" x14ac:dyDescent="0.25">
      <c r="A128" s="7">
        <v>127</v>
      </c>
      <c r="B128" s="48" t="s">
        <v>66</v>
      </c>
      <c r="C128" s="38" t="s">
        <v>67</v>
      </c>
      <c r="D128" s="38" t="s">
        <v>67</v>
      </c>
      <c r="E128" s="38" t="s">
        <v>65</v>
      </c>
      <c r="F128" s="38" t="s">
        <v>237</v>
      </c>
      <c r="G128" s="38" t="s">
        <v>3</v>
      </c>
      <c r="H128" s="7" t="s">
        <v>307</v>
      </c>
      <c r="I128" s="7">
        <v>1000</v>
      </c>
      <c r="J128" s="7">
        <v>1265</v>
      </c>
      <c r="K128" s="7">
        <v>2</v>
      </c>
      <c r="L128" s="7" t="s">
        <v>4</v>
      </c>
      <c r="M128" s="2">
        <f t="shared" si="17"/>
        <v>2530</v>
      </c>
      <c r="N128" s="7">
        <v>0</v>
      </c>
      <c r="O128" s="5">
        <f t="shared" si="9"/>
        <v>2530</v>
      </c>
      <c r="P128" s="4">
        <f t="shared" si="10"/>
        <v>455.4</v>
      </c>
      <c r="Q128" s="2">
        <f t="shared" si="11"/>
        <v>2985.4</v>
      </c>
      <c r="R128" s="7">
        <v>0</v>
      </c>
      <c r="S128" s="49">
        <f t="shared" si="12"/>
        <v>2985.4</v>
      </c>
      <c r="T128" s="49">
        <v>2985.4</v>
      </c>
      <c r="U128" s="4">
        <f t="shared" si="13"/>
        <v>0</v>
      </c>
      <c r="V128" s="49">
        <v>2985.4</v>
      </c>
      <c r="W128" s="49">
        <f t="shared" si="14"/>
        <v>0</v>
      </c>
      <c r="X128" s="46"/>
    </row>
    <row r="129" spans="1:24" x14ac:dyDescent="0.25">
      <c r="A129" s="7">
        <v>128</v>
      </c>
      <c r="B129" s="48" t="s">
        <v>374</v>
      </c>
      <c r="C129" s="38" t="s">
        <v>375</v>
      </c>
      <c r="D129" s="38" t="s">
        <v>375</v>
      </c>
      <c r="E129" s="38" t="s">
        <v>376</v>
      </c>
      <c r="F129" s="38" t="s">
        <v>246</v>
      </c>
      <c r="G129" s="38" t="s">
        <v>3</v>
      </c>
      <c r="H129" s="7" t="s">
        <v>307</v>
      </c>
      <c r="I129" s="7">
        <v>750</v>
      </c>
      <c r="J129" s="7">
        <v>750</v>
      </c>
      <c r="K129" s="7">
        <v>3</v>
      </c>
      <c r="L129" s="7" t="s">
        <v>4</v>
      </c>
      <c r="M129" s="2">
        <f t="shared" si="17"/>
        <v>2250</v>
      </c>
      <c r="N129" s="7">
        <v>0</v>
      </c>
      <c r="O129" s="5">
        <f t="shared" si="9"/>
        <v>2250</v>
      </c>
      <c r="P129" s="4">
        <f t="shared" si="10"/>
        <v>405</v>
      </c>
      <c r="Q129" s="2">
        <f t="shared" si="11"/>
        <v>2655</v>
      </c>
      <c r="R129" s="7">
        <v>-13275</v>
      </c>
      <c r="S129" s="49">
        <f t="shared" si="12"/>
        <v>-10620</v>
      </c>
      <c r="T129" s="49">
        <v>-10620</v>
      </c>
      <c r="U129" s="4">
        <f t="shared" si="13"/>
        <v>0</v>
      </c>
      <c r="V129" s="49">
        <v>-10620</v>
      </c>
      <c r="W129" s="49">
        <f t="shared" si="14"/>
        <v>0</v>
      </c>
      <c r="X129" s="46"/>
    </row>
    <row r="130" spans="1:24" x14ac:dyDescent="0.25">
      <c r="A130" s="7">
        <v>129</v>
      </c>
      <c r="B130" s="48" t="s">
        <v>27</v>
      </c>
      <c r="C130" s="38" t="s">
        <v>199</v>
      </c>
      <c r="D130" s="38" t="s">
        <v>138</v>
      </c>
      <c r="E130" s="38" t="s">
        <v>373</v>
      </c>
      <c r="F130" s="38" t="s">
        <v>239</v>
      </c>
      <c r="G130" s="38" t="s">
        <v>3</v>
      </c>
      <c r="H130" s="7" t="s">
        <v>117</v>
      </c>
      <c r="I130" s="7">
        <v>5000</v>
      </c>
      <c r="J130" s="7">
        <v>5000</v>
      </c>
      <c r="K130" s="7">
        <v>1.5</v>
      </c>
      <c r="L130" s="7" t="s">
        <v>4</v>
      </c>
      <c r="M130" s="2">
        <f t="shared" si="17"/>
        <v>7500</v>
      </c>
      <c r="N130" s="7">
        <v>0</v>
      </c>
      <c r="O130" s="5">
        <f t="shared" ref="O130:O143" si="18">M130-N130</f>
        <v>7500</v>
      </c>
      <c r="P130" s="4">
        <f t="shared" si="10"/>
        <v>1350</v>
      </c>
      <c r="Q130" s="2">
        <f t="shared" si="11"/>
        <v>8850</v>
      </c>
      <c r="R130" s="7">
        <v>-399.73</v>
      </c>
      <c r="S130" s="49">
        <f t="shared" si="12"/>
        <v>8450.27</v>
      </c>
      <c r="T130" s="49">
        <v>8450.27</v>
      </c>
      <c r="U130" s="4">
        <f t="shared" si="13"/>
        <v>0</v>
      </c>
      <c r="V130" s="49">
        <v>8450.27</v>
      </c>
      <c r="W130" s="49">
        <f t="shared" si="14"/>
        <v>0</v>
      </c>
      <c r="X130" s="46"/>
    </row>
    <row r="131" spans="1:24" x14ac:dyDescent="0.25">
      <c r="A131" s="7">
        <v>130</v>
      </c>
      <c r="B131" s="48" t="s">
        <v>103</v>
      </c>
      <c r="C131" s="38" t="s">
        <v>282</v>
      </c>
      <c r="D131" s="38" t="s">
        <v>282</v>
      </c>
      <c r="E131" s="38" t="s">
        <v>300</v>
      </c>
      <c r="F131" s="38" t="s">
        <v>243</v>
      </c>
      <c r="G131" s="38" t="s">
        <v>3</v>
      </c>
      <c r="H131" s="7" t="s">
        <v>307</v>
      </c>
      <c r="I131" s="7">
        <v>1000</v>
      </c>
      <c r="J131" s="7">
        <v>1817</v>
      </c>
      <c r="K131" s="7">
        <v>2</v>
      </c>
      <c r="L131" s="7" t="s">
        <v>4</v>
      </c>
      <c r="M131" s="2">
        <f>J131*K131+250</f>
        <v>3884</v>
      </c>
      <c r="N131" s="7">
        <v>0</v>
      </c>
      <c r="O131" s="5">
        <f t="shared" si="18"/>
        <v>3884</v>
      </c>
      <c r="P131" s="4">
        <f t="shared" ref="P131:P143" si="19">O131*18%</f>
        <v>699.12</v>
      </c>
      <c r="Q131" s="2">
        <f t="shared" ref="Q131:Q143" si="20">SUM(O131:P131)</f>
        <v>4583.12</v>
      </c>
      <c r="R131" s="7">
        <v>482.33</v>
      </c>
      <c r="S131" s="49">
        <f t="shared" ref="S131:S143" si="21">Q131+R131</f>
        <v>5065.45</v>
      </c>
      <c r="T131" s="49">
        <v>5065.45</v>
      </c>
      <c r="U131" s="4">
        <f t="shared" ref="U131:U143" si="22">S131-T131</f>
        <v>0</v>
      </c>
      <c r="V131" s="49">
        <v>5065.45</v>
      </c>
      <c r="W131" s="49">
        <f t="shared" ref="W131:W143" si="23">ROUND(S131-V131,2)</f>
        <v>0</v>
      </c>
      <c r="X131" s="46"/>
    </row>
    <row r="132" spans="1:24" x14ac:dyDescent="0.25">
      <c r="A132" s="7">
        <v>131</v>
      </c>
      <c r="B132" s="48" t="s">
        <v>259</v>
      </c>
      <c r="C132" s="38" t="s">
        <v>260</v>
      </c>
      <c r="D132" s="38" t="s">
        <v>261</v>
      </c>
      <c r="E132" s="38" t="s">
        <v>401</v>
      </c>
      <c r="F132" s="38" t="s">
        <v>237</v>
      </c>
      <c r="G132" s="38" t="s">
        <v>3</v>
      </c>
      <c r="H132" s="7" t="s">
        <v>307</v>
      </c>
      <c r="I132" s="7">
        <v>1000</v>
      </c>
      <c r="J132" s="7">
        <v>3757</v>
      </c>
      <c r="K132" s="7">
        <v>2</v>
      </c>
      <c r="L132" s="7" t="s">
        <v>4</v>
      </c>
      <c r="M132" s="2">
        <f t="shared" ref="M132:M143" si="24">J132*K132</f>
        <v>7514</v>
      </c>
      <c r="N132" s="7">
        <v>0</v>
      </c>
      <c r="O132" s="5">
        <f t="shared" si="18"/>
        <v>7514</v>
      </c>
      <c r="P132" s="4">
        <f t="shared" si="19"/>
        <v>1352.52</v>
      </c>
      <c r="Q132" s="2">
        <f t="shared" si="20"/>
        <v>8866.52</v>
      </c>
      <c r="R132" s="7">
        <v>0.77</v>
      </c>
      <c r="S132" s="49">
        <f t="shared" si="21"/>
        <v>8867.2900000000009</v>
      </c>
      <c r="T132" s="49">
        <v>8867.2900000000009</v>
      </c>
      <c r="U132" s="4">
        <f t="shared" si="22"/>
        <v>0</v>
      </c>
      <c r="V132" s="49">
        <v>8867.2900000000009</v>
      </c>
      <c r="W132" s="49">
        <f t="shared" si="23"/>
        <v>0</v>
      </c>
      <c r="X132" s="46"/>
    </row>
    <row r="133" spans="1:24" x14ac:dyDescent="0.25">
      <c r="A133" s="7">
        <v>132</v>
      </c>
      <c r="B133" s="48" t="s">
        <v>536</v>
      </c>
      <c r="C133" s="38" t="s">
        <v>537</v>
      </c>
      <c r="D133" s="38" t="s">
        <v>537</v>
      </c>
      <c r="E133" s="38" t="s">
        <v>538</v>
      </c>
      <c r="F133" s="38" t="s">
        <v>237</v>
      </c>
      <c r="G133" s="38" t="s">
        <v>3</v>
      </c>
      <c r="H133" s="7" t="s">
        <v>307</v>
      </c>
      <c r="I133" s="7">
        <v>1000</v>
      </c>
      <c r="J133" s="7">
        <v>1000</v>
      </c>
      <c r="K133" s="7">
        <v>2</v>
      </c>
      <c r="L133" s="7" t="s">
        <v>4</v>
      </c>
      <c r="M133" s="2">
        <f t="shared" si="24"/>
        <v>2000</v>
      </c>
      <c r="N133" s="7">
        <v>0</v>
      </c>
      <c r="O133" s="5">
        <f t="shared" si="18"/>
        <v>2000</v>
      </c>
      <c r="P133" s="4">
        <f t="shared" si="19"/>
        <v>360</v>
      </c>
      <c r="Q133" s="2">
        <f t="shared" si="20"/>
        <v>2360</v>
      </c>
      <c r="R133" s="7">
        <v>-8208.9599999999991</v>
      </c>
      <c r="S133" s="49">
        <f t="shared" si="21"/>
        <v>-5848.9599999999991</v>
      </c>
      <c r="T133" s="49">
        <v>-5848.96</v>
      </c>
      <c r="U133" s="4">
        <f t="shared" si="22"/>
        <v>0</v>
      </c>
      <c r="V133" s="49">
        <v>-5848.96</v>
      </c>
      <c r="W133" s="49">
        <f t="shared" si="23"/>
        <v>0</v>
      </c>
      <c r="X133" s="46"/>
    </row>
    <row r="134" spans="1:24" x14ac:dyDescent="0.25">
      <c r="A134" s="7">
        <v>133</v>
      </c>
      <c r="B134" s="48" t="s">
        <v>296</v>
      </c>
      <c r="C134" s="38" t="s">
        <v>297</v>
      </c>
      <c r="D134" s="38" t="s">
        <v>297</v>
      </c>
      <c r="E134" s="38" t="s">
        <v>441</v>
      </c>
      <c r="F134" s="38" t="s">
        <v>240</v>
      </c>
      <c r="G134" s="38" t="s">
        <v>3</v>
      </c>
      <c r="H134" s="7" t="s">
        <v>307</v>
      </c>
      <c r="I134" s="7">
        <v>1000</v>
      </c>
      <c r="J134" s="7">
        <v>2524</v>
      </c>
      <c r="K134" s="7">
        <v>2</v>
      </c>
      <c r="L134" s="7" t="s">
        <v>4</v>
      </c>
      <c r="M134" s="2">
        <f t="shared" si="24"/>
        <v>5048</v>
      </c>
      <c r="N134" s="7">
        <v>0</v>
      </c>
      <c r="O134" s="5">
        <f t="shared" si="18"/>
        <v>5048</v>
      </c>
      <c r="P134" s="4">
        <f t="shared" si="19"/>
        <v>908.64</v>
      </c>
      <c r="Q134" s="2">
        <f t="shared" si="20"/>
        <v>5956.64</v>
      </c>
      <c r="R134" s="7">
        <v>-0.12</v>
      </c>
      <c r="S134" s="49">
        <f t="shared" si="21"/>
        <v>5956.52</v>
      </c>
      <c r="T134" s="49">
        <v>5956.52</v>
      </c>
      <c r="U134" s="4">
        <f t="shared" si="22"/>
        <v>0</v>
      </c>
      <c r="V134" s="49">
        <v>5956.52</v>
      </c>
      <c r="W134" s="49">
        <f t="shared" si="23"/>
        <v>0</v>
      </c>
      <c r="X134" s="46"/>
    </row>
    <row r="135" spans="1:24" x14ac:dyDescent="0.25">
      <c r="A135" s="7">
        <v>134</v>
      </c>
      <c r="B135" s="48" t="s">
        <v>503</v>
      </c>
      <c r="C135" s="38" t="s">
        <v>504</v>
      </c>
      <c r="D135" s="38" t="s">
        <v>505</v>
      </c>
      <c r="E135" s="38" t="s">
        <v>506</v>
      </c>
      <c r="F135" s="38" t="s">
        <v>237</v>
      </c>
      <c r="G135" s="38" t="s">
        <v>3</v>
      </c>
      <c r="H135" s="7" t="s">
        <v>307</v>
      </c>
      <c r="I135" s="7">
        <v>1000</v>
      </c>
      <c r="J135" s="7">
        <v>1000</v>
      </c>
      <c r="K135" s="7">
        <v>2</v>
      </c>
      <c r="L135" s="7" t="s">
        <v>4</v>
      </c>
      <c r="M135" s="2">
        <f t="shared" si="24"/>
        <v>2000</v>
      </c>
      <c r="N135" s="7">
        <v>0</v>
      </c>
      <c r="O135" s="5">
        <f t="shared" si="18"/>
        <v>2000</v>
      </c>
      <c r="P135" s="4">
        <f t="shared" si="19"/>
        <v>360</v>
      </c>
      <c r="Q135" s="2">
        <f t="shared" si="20"/>
        <v>2360</v>
      </c>
      <c r="R135" s="7">
        <v>-2950.42</v>
      </c>
      <c r="S135" s="49">
        <f t="shared" si="21"/>
        <v>-590.42000000000007</v>
      </c>
      <c r="T135" s="49">
        <v>-590.41999999999996</v>
      </c>
      <c r="U135" s="4">
        <f t="shared" si="22"/>
        <v>0</v>
      </c>
      <c r="V135" s="49">
        <v>-590.41999999999996</v>
      </c>
      <c r="W135" s="49">
        <f t="shared" si="23"/>
        <v>0</v>
      </c>
      <c r="X135" s="46"/>
    </row>
    <row r="136" spans="1:24" x14ac:dyDescent="0.25">
      <c r="A136" s="7">
        <v>135</v>
      </c>
      <c r="B136" s="48" t="s">
        <v>512</v>
      </c>
      <c r="C136" s="38" t="s">
        <v>513</v>
      </c>
      <c r="D136" s="38" t="s">
        <v>513</v>
      </c>
      <c r="E136" s="38" t="s">
        <v>514</v>
      </c>
      <c r="F136" s="38" t="s">
        <v>241</v>
      </c>
      <c r="G136" s="38" t="s">
        <v>3</v>
      </c>
      <c r="H136" s="7" t="s">
        <v>307</v>
      </c>
      <c r="I136" s="7">
        <v>1000</v>
      </c>
      <c r="J136" s="7">
        <v>3541</v>
      </c>
      <c r="K136" s="7">
        <v>2</v>
      </c>
      <c r="L136" s="7" t="s">
        <v>4</v>
      </c>
      <c r="M136" s="2">
        <f t="shared" si="24"/>
        <v>7082</v>
      </c>
      <c r="N136" s="7">
        <v>0</v>
      </c>
      <c r="O136" s="5">
        <f t="shared" si="18"/>
        <v>7082</v>
      </c>
      <c r="P136" s="4">
        <f t="shared" si="19"/>
        <v>1274.76</v>
      </c>
      <c r="Q136" s="2">
        <f t="shared" si="20"/>
        <v>8356.76</v>
      </c>
      <c r="R136" s="7">
        <v>-13666.26</v>
      </c>
      <c r="S136" s="49">
        <f t="shared" si="21"/>
        <v>-5309.5</v>
      </c>
      <c r="T136" s="49">
        <v>-5309.5</v>
      </c>
      <c r="U136" s="4">
        <f t="shared" si="22"/>
        <v>0</v>
      </c>
      <c r="V136" s="49">
        <v>-5309.5</v>
      </c>
      <c r="W136" s="49">
        <f t="shared" si="23"/>
        <v>0</v>
      </c>
      <c r="X136" s="46"/>
    </row>
    <row r="137" spans="1:24" x14ac:dyDescent="0.25">
      <c r="A137" s="7">
        <v>136</v>
      </c>
      <c r="B137" s="48" t="s">
        <v>160</v>
      </c>
      <c r="C137" s="38" t="s">
        <v>102</v>
      </c>
      <c r="D137" s="38" t="s">
        <v>102</v>
      </c>
      <c r="E137" s="38" t="s">
        <v>290</v>
      </c>
      <c r="F137" s="38" t="s">
        <v>237</v>
      </c>
      <c r="G137" s="38" t="s">
        <v>3</v>
      </c>
      <c r="H137" s="7" t="s">
        <v>117</v>
      </c>
      <c r="I137" s="7">
        <v>1000</v>
      </c>
      <c r="J137" s="7">
        <v>1000</v>
      </c>
      <c r="K137" s="7">
        <v>1.5</v>
      </c>
      <c r="L137" s="7" t="s">
        <v>4</v>
      </c>
      <c r="M137" s="2">
        <f t="shared" si="24"/>
        <v>1500</v>
      </c>
      <c r="N137" s="7">
        <v>0</v>
      </c>
      <c r="O137" s="5">
        <f t="shared" si="18"/>
        <v>1500</v>
      </c>
      <c r="P137" s="4">
        <f t="shared" si="19"/>
        <v>270</v>
      </c>
      <c r="Q137" s="2">
        <f t="shared" si="20"/>
        <v>1770</v>
      </c>
      <c r="R137" s="7">
        <v>-9.67</v>
      </c>
      <c r="S137" s="49">
        <f t="shared" si="21"/>
        <v>1760.33</v>
      </c>
      <c r="T137" s="49">
        <v>1760.33</v>
      </c>
      <c r="U137" s="4">
        <f t="shared" si="22"/>
        <v>0</v>
      </c>
      <c r="V137" s="49">
        <v>1760.33</v>
      </c>
      <c r="W137" s="49">
        <f t="shared" si="23"/>
        <v>0</v>
      </c>
      <c r="X137" s="46"/>
    </row>
    <row r="138" spans="1:24" x14ac:dyDescent="0.25">
      <c r="A138" s="7">
        <v>137</v>
      </c>
      <c r="B138" s="48" t="s">
        <v>543</v>
      </c>
      <c r="C138" s="38" t="s">
        <v>547</v>
      </c>
      <c r="D138" s="38" t="s">
        <v>547</v>
      </c>
      <c r="E138" s="38" t="s">
        <v>546</v>
      </c>
      <c r="F138" s="38" t="s">
        <v>242</v>
      </c>
      <c r="G138" s="38" t="s">
        <v>3</v>
      </c>
      <c r="H138" s="7" t="s">
        <v>549</v>
      </c>
      <c r="I138" s="7">
        <v>500</v>
      </c>
      <c r="J138" s="7">
        <v>500</v>
      </c>
      <c r="K138" s="7">
        <v>5</v>
      </c>
      <c r="L138" s="7" t="s">
        <v>4</v>
      </c>
      <c r="M138" s="2">
        <f t="shared" si="24"/>
        <v>2500</v>
      </c>
      <c r="N138" s="7">
        <v>0</v>
      </c>
      <c r="O138" s="5">
        <f t="shared" si="18"/>
        <v>2500</v>
      </c>
      <c r="P138" s="4">
        <f t="shared" si="19"/>
        <v>450</v>
      </c>
      <c r="Q138" s="2">
        <f t="shared" si="20"/>
        <v>2950</v>
      </c>
      <c r="R138" s="7">
        <v>-13872.58</v>
      </c>
      <c r="S138" s="49">
        <f t="shared" si="21"/>
        <v>-10922.58</v>
      </c>
      <c r="T138" s="49">
        <v>-10922.58</v>
      </c>
      <c r="U138" s="4">
        <f t="shared" si="22"/>
        <v>0</v>
      </c>
      <c r="V138" s="49">
        <v>-10922.58</v>
      </c>
      <c r="W138" s="49">
        <f t="shared" si="23"/>
        <v>0</v>
      </c>
      <c r="X138" s="46"/>
    </row>
    <row r="139" spans="1:24" x14ac:dyDescent="0.25">
      <c r="A139" s="7">
        <v>138</v>
      </c>
      <c r="B139" s="48" t="s">
        <v>611</v>
      </c>
      <c r="C139" s="38" t="s">
        <v>616</v>
      </c>
      <c r="D139" s="38" t="s">
        <v>616</v>
      </c>
      <c r="E139" s="38" t="s">
        <v>612</v>
      </c>
      <c r="F139" s="38" t="s">
        <v>237</v>
      </c>
      <c r="G139" s="38" t="s">
        <v>3</v>
      </c>
      <c r="H139" s="7" t="s">
        <v>549</v>
      </c>
      <c r="I139" s="7">
        <v>500</v>
      </c>
      <c r="J139" s="7">
        <v>500</v>
      </c>
      <c r="K139" s="7">
        <v>5</v>
      </c>
      <c r="L139" s="7" t="s">
        <v>4</v>
      </c>
      <c r="M139" s="2">
        <f t="shared" si="24"/>
        <v>2500</v>
      </c>
      <c r="N139" s="7">
        <v>0</v>
      </c>
      <c r="O139" s="5">
        <f t="shared" si="18"/>
        <v>2500</v>
      </c>
      <c r="P139" s="4">
        <f t="shared" si="19"/>
        <v>450</v>
      </c>
      <c r="Q139" s="2">
        <f t="shared" si="20"/>
        <v>2950</v>
      </c>
      <c r="R139" s="7">
        <v>2950</v>
      </c>
      <c r="S139" s="49">
        <f t="shared" si="21"/>
        <v>5900</v>
      </c>
      <c r="T139" s="49">
        <v>5900</v>
      </c>
      <c r="U139" s="4">
        <f t="shared" si="22"/>
        <v>0</v>
      </c>
      <c r="V139" s="49">
        <v>5900</v>
      </c>
      <c r="W139" s="49">
        <f t="shared" si="23"/>
        <v>0</v>
      </c>
      <c r="X139" s="46"/>
    </row>
    <row r="140" spans="1:24" x14ac:dyDescent="0.25">
      <c r="A140" s="7">
        <v>139</v>
      </c>
      <c r="B140" s="48" t="s">
        <v>628</v>
      </c>
      <c r="C140" s="38" t="s">
        <v>629</v>
      </c>
      <c r="D140" s="38" t="s">
        <v>629</v>
      </c>
      <c r="E140" s="38" t="s">
        <v>634</v>
      </c>
      <c r="F140" s="38" t="s">
        <v>239</v>
      </c>
      <c r="G140" s="38" t="s">
        <v>3</v>
      </c>
      <c r="H140" s="7" t="s">
        <v>549</v>
      </c>
      <c r="I140" s="7">
        <v>500</v>
      </c>
      <c r="J140" s="7">
        <v>500</v>
      </c>
      <c r="K140" s="7">
        <v>4</v>
      </c>
      <c r="L140" s="7" t="s">
        <v>4</v>
      </c>
      <c r="M140" s="2">
        <f t="shared" si="24"/>
        <v>2000</v>
      </c>
      <c r="N140" s="7">
        <v>0</v>
      </c>
      <c r="O140" s="5">
        <f t="shared" si="18"/>
        <v>2000</v>
      </c>
      <c r="P140" s="4">
        <f t="shared" si="19"/>
        <v>360</v>
      </c>
      <c r="Q140" s="2">
        <f t="shared" si="20"/>
        <v>2360</v>
      </c>
      <c r="R140" s="7">
        <v>-7080</v>
      </c>
      <c r="S140" s="49">
        <f t="shared" si="21"/>
        <v>-4720</v>
      </c>
      <c r="T140" s="49">
        <v>-4720</v>
      </c>
      <c r="U140" s="4">
        <f t="shared" si="22"/>
        <v>0</v>
      </c>
      <c r="V140" s="49">
        <v>-4720</v>
      </c>
      <c r="W140" s="49">
        <f t="shared" si="23"/>
        <v>0</v>
      </c>
      <c r="X140" s="46"/>
    </row>
    <row r="141" spans="1:24" x14ac:dyDescent="0.25">
      <c r="A141" s="7">
        <v>140</v>
      </c>
      <c r="B141" s="48" t="s">
        <v>643</v>
      </c>
      <c r="C141" s="38" t="s">
        <v>645</v>
      </c>
      <c r="D141" s="38" t="s">
        <v>645</v>
      </c>
      <c r="E141" s="38" t="s">
        <v>644</v>
      </c>
      <c r="F141" s="38" t="s">
        <v>245</v>
      </c>
      <c r="G141" s="38" t="s">
        <v>3</v>
      </c>
      <c r="H141" s="7" t="s">
        <v>549</v>
      </c>
      <c r="I141" s="7">
        <v>250</v>
      </c>
      <c r="J141" s="7">
        <v>250</v>
      </c>
      <c r="K141" s="7">
        <v>6</v>
      </c>
      <c r="L141" s="7" t="s">
        <v>4</v>
      </c>
      <c r="M141" s="2">
        <f t="shared" si="24"/>
        <v>1500</v>
      </c>
      <c r="N141" s="7">
        <v>0</v>
      </c>
      <c r="O141" s="5">
        <f t="shared" si="18"/>
        <v>1500</v>
      </c>
      <c r="P141" s="4">
        <f t="shared" si="19"/>
        <v>270</v>
      </c>
      <c r="Q141" s="2">
        <f t="shared" si="20"/>
        <v>1770</v>
      </c>
      <c r="R141" s="7">
        <v>-7080</v>
      </c>
      <c r="S141" s="49">
        <f t="shared" si="21"/>
        <v>-5310</v>
      </c>
      <c r="T141" s="49">
        <v>-5310</v>
      </c>
      <c r="U141" s="4">
        <f t="shared" si="22"/>
        <v>0</v>
      </c>
      <c r="V141" s="49">
        <v>-5310</v>
      </c>
      <c r="W141" s="49">
        <f t="shared" si="23"/>
        <v>0</v>
      </c>
      <c r="X141" s="46"/>
    </row>
    <row r="142" spans="1:24" x14ac:dyDescent="0.25">
      <c r="A142" s="7">
        <v>141</v>
      </c>
      <c r="B142" s="48" t="s">
        <v>285</v>
      </c>
      <c r="C142" s="38" t="s">
        <v>286</v>
      </c>
      <c r="D142" s="38" t="s">
        <v>286</v>
      </c>
      <c r="E142" s="38" t="s">
        <v>287</v>
      </c>
      <c r="F142" s="38" t="s">
        <v>242</v>
      </c>
      <c r="G142" s="38" t="s">
        <v>3</v>
      </c>
      <c r="H142" s="7" t="s">
        <v>117</v>
      </c>
      <c r="I142" s="7">
        <v>15000</v>
      </c>
      <c r="J142" s="7">
        <v>15000</v>
      </c>
      <c r="K142" s="7">
        <v>0.85</v>
      </c>
      <c r="L142" s="7" t="s">
        <v>4</v>
      </c>
      <c r="M142" s="2">
        <f t="shared" si="24"/>
        <v>12750</v>
      </c>
      <c r="N142" s="7">
        <v>0</v>
      </c>
      <c r="O142" s="5">
        <f t="shared" si="18"/>
        <v>12750</v>
      </c>
      <c r="P142" s="4">
        <f t="shared" si="19"/>
        <v>2295</v>
      </c>
      <c r="Q142" s="2">
        <f t="shared" si="20"/>
        <v>15045</v>
      </c>
      <c r="R142" s="7">
        <v>-274.17</v>
      </c>
      <c r="S142" s="49">
        <f t="shared" si="21"/>
        <v>14770.83</v>
      </c>
      <c r="T142" s="49">
        <v>14770.83</v>
      </c>
      <c r="U142" s="4">
        <f t="shared" si="22"/>
        <v>0</v>
      </c>
      <c r="V142" s="49">
        <v>14770.83</v>
      </c>
      <c r="W142" s="49">
        <f t="shared" si="23"/>
        <v>0</v>
      </c>
      <c r="X142" s="46"/>
    </row>
    <row r="143" spans="1:24" x14ac:dyDescent="0.25">
      <c r="A143" s="7">
        <v>142</v>
      </c>
      <c r="B143" s="48" t="s">
        <v>661</v>
      </c>
      <c r="C143" s="38" t="s">
        <v>314</v>
      </c>
      <c r="D143" s="38" t="s">
        <v>314</v>
      </c>
      <c r="E143" s="38" t="s">
        <v>316</v>
      </c>
      <c r="F143" s="38" t="s">
        <v>237</v>
      </c>
      <c r="G143" s="38" t="s">
        <v>3</v>
      </c>
      <c r="H143" s="7" t="s">
        <v>550</v>
      </c>
      <c r="I143" s="7">
        <v>5000</v>
      </c>
      <c r="J143" s="7">
        <v>5000</v>
      </c>
      <c r="K143" s="7">
        <v>1.1499999999999999</v>
      </c>
      <c r="L143" s="7" t="s">
        <v>4</v>
      </c>
      <c r="M143" s="2">
        <f t="shared" si="24"/>
        <v>5750</v>
      </c>
      <c r="N143" s="7">
        <v>0</v>
      </c>
      <c r="O143" s="5">
        <f t="shared" si="18"/>
        <v>5750</v>
      </c>
      <c r="P143" s="4">
        <f t="shared" si="19"/>
        <v>1035</v>
      </c>
      <c r="Q143" s="2">
        <f t="shared" si="20"/>
        <v>6785</v>
      </c>
      <c r="R143" s="7">
        <v>0</v>
      </c>
      <c r="S143" s="49">
        <f t="shared" si="21"/>
        <v>6785</v>
      </c>
      <c r="T143" s="49">
        <v>6785</v>
      </c>
      <c r="U143" s="4">
        <f t="shared" si="22"/>
        <v>0</v>
      </c>
      <c r="V143" s="49">
        <v>6785</v>
      </c>
      <c r="W143" s="49">
        <f t="shared" si="23"/>
        <v>0</v>
      </c>
      <c r="X143" s="46"/>
    </row>
  </sheetData>
  <protectedRanges>
    <protectedRange sqref="A1:V1" name="Range1_1_1_1_1_4"/>
  </protectedRange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006A-2B2D-4A97-8EDE-74E3891C3615}">
  <dimension ref="A1:X141"/>
  <sheetViews>
    <sheetView workbookViewId="0">
      <selection activeCell="P142" sqref="P142"/>
    </sheetView>
  </sheetViews>
  <sheetFormatPr defaultRowHeight="15" x14ac:dyDescent="0.25"/>
  <cols>
    <col min="3" max="4" width="34.85546875" hidden="1" customWidth="1"/>
    <col min="5" max="5" width="50.140625" hidden="1" customWidth="1"/>
    <col min="6" max="6" width="16.85546875" hidden="1" customWidth="1"/>
    <col min="13" max="13" width="10.5703125" bestFit="1" customWidth="1"/>
    <col min="15" max="15" width="13.5703125" bestFit="1" customWidth="1"/>
    <col min="17" max="17" width="13.5703125" bestFit="1" customWidth="1"/>
    <col min="18" max="18" width="10" bestFit="1" customWidth="1"/>
    <col min="19" max="19" width="9.5703125" bestFit="1" customWidth="1"/>
    <col min="20" max="20" width="13.5703125" bestFit="1" customWidth="1"/>
    <col min="21" max="21" width="9.5703125" bestFit="1" customWidth="1"/>
    <col min="22" max="22" width="13.42578125" bestFit="1" customWidth="1"/>
    <col min="23" max="23" width="9.5703125" bestFit="1" customWidth="1"/>
  </cols>
  <sheetData>
    <row r="1" spans="1:24" ht="63" x14ac:dyDescent="0.25">
      <c r="A1" s="3" t="s">
        <v>394</v>
      </c>
      <c r="B1" s="3" t="s">
        <v>283</v>
      </c>
      <c r="C1" s="3" t="s">
        <v>127</v>
      </c>
      <c r="D1" s="3" t="s">
        <v>185</v>
      </c>
      <c r="E1" s="3" t="s">
        <v>128</v>
      </c>
      <c r="F1" s="3" t="s">
        <v>0</v>
      </c>
      <c r="G1" s="3" t="s">
        <v>184</v>
      </c>
      <c r="H1" s="3" t="s">
        <v>183</v>
      </c>
      <c r="I1" s="3" t="s">
        <v>194</v>
      </c>
      <c r="J1" s="3" t="s">
        <v>129</v>
      </c>
      <c r="K1" s="3" t="s">
        <v>1</v>
      </c>
      <c r="L1" s="3" t="s">
        <v>2</v>
      </c>
      <c r="M1" s="3" t="s">
        <v>182</v>
      </c>
      <c r="N1" s="3" t="s">
        <v>201</v>
      </c>
      <c r="O1" s="3" t="s">
        <v>181</v>
      </c>
      <c r="P1" s="3" t="s">
        <v>555</v>
      </c>
      <c r="Q1" s="3" t="s">
        <v>130</v>
      </c>
      <c r="R1" s="3" t="s">
        <v>264</v>
      </c>
      <c r="S1" s="3" t="s">
        <v>263</v>
      </c>
      <c r="T1" s="3" t="s">
        <v>448</v>
      </c>
      <c r="U1" s="3" t="s">
        <v>449</v>
      </c>
      <c r="V1" s="3" t="s">
        <v>662</v>
      </c>
      <c r="W1" s="3" t="s">
        <v>450</v>
      </c>
      <c r="X1" s="3" t="s">
        <v>511</v>
      </c>
    </row>
    <row r="2" spans="1:24" x14ac:dyDescent="0.25">
      <c r="A2" s="7">
        <v>1</v>
      </c>
      <c r="B2" s="48" t="s">
        <v>190</v>
      </c>
      <c r="C2" s="38" t="s">
        <v>195</v>
      </c>
      <c r="D2" s="38" t="s">
        <v>195</v>
      </c>
      <c r="E2" s="38" t="s">
        <v>189</v>
      </c>
      <c r="F2" s="38" t="s">
        <v>237</v>
      </c>
      <c r="G2" s="38" t="s">
        <v>3</v>
      </c>
      <c r="H2" s="7" t="s">
        <v>447</v>
      </c>
      <c r="I2" s="7">
        <v>10000</v>
      </c>
      <c r="J2" s="7">
        <v>10000</v>
      </c>
      <c r="K2" s="7">
        <v>1</v>
      </c>
      <c r="L2" s="7" t="s">
        <v>4</v>
      </c>
      <c r="M2" s="2">
        <f t="shared" ref="M2:M65" si="0">J2*K2</f>
        <v>10000</v>
      </c>
      <c r="N2" s="7">
        <v>0</v>
      </c>
      <c r="O2" s="5">
        <f t="shared" ref="O2:O65" si="1">M2-N2</f>
        <v>10000</v>
      </c>
      <c r="P2" s="4">
        <f>O2*18%</f>
        <v>1800</v>
      </c>
      <c r="Q2" s="2">
        <f>SUM(O2:P2)</f>
        <v>11800</v>
      </c>
      <c r="R2" s="7">
        <v>0.04</v>
      </c>
      <c r="S2" s="49">
        <f>Q2+R2</f>
        <v>11800.04</v>
      </c>
      <c r="T2" s="49">
        <v>11800.04</v>
      </c>
      <c r="U2" s="4">
        <f>S2-T2</f>
        <v>0</v>
      </c>
      <c r="V2" s="49">
        <v>11800.04</v>
      </c>
      <c r="W2" s="49">
        <f>ROUND(S2-V2,2)</f>
        <v>0</v>
      </c>
      <c r="X2" s="7"/>
    </row>
    <row r="3" spans="1:24" x14ac:dyDescent="0.25">
      <c r="A3" s="7">
        <v>2</v>
      </c>
      <c r="B3" s="48" t="s">
        <v>397</v>
      </c>
      <c r="C3" s="38" t="s">
        <v>398</v>
      </c>
      <c r="D3" s="38" t="s">
        <v>399</v>
      </c>
      <c r="E3" s="38" t="s">
        <v>400</v>
      </c>
      <c r="F3" s="38" t="s">
        <v>237</v>
      </c>
      <c r="G3" s="38" t="s">
        <v>3</v>
      </c>
      <c r="H3" s="7" t="s">
        <v>447</v>
      </c>
      <c r="I3" s="7">
        <v>10000</v>
      </c>
      <c r="J3" s="7">
        <v>10000</v>
      </c>
      <c r="K3" s="7">
        <v>1</v>
      </c>
      <c r="L3" s="7" t="s">
        <v>4</v>
      </c>
      <c r="M3" s="2">
        <f t="shared" si="0"/>
        <v>10000</v>
      </c>
      <c r="N3" s="7">
        <v>0</v>
      </c>
      <c r="O3" s="5">
        <f t="shared" si="1"/>
        <v>10000</v>
      </c>
      <c r="P3" s="4">
        <f t="shared" ref="P3:P66" si="2">O3*18%</f>
        <v>1800</v>
      </c>
      <c r="Q3" s="2">
        <f t="shared" ref="Q3:Q66" si="3">SUM(O3:P3)</f>
        <v>11800</v>
      </c>
      <c r="R3" s="7">
        <v>0</v>
      </c>
      <c r="S3" s="49">
        <f t="shared" ref="S3:S66" si="4">Q3+R3</f>
        <v>11800</v>
      </c>
      <c r="T3" s="49">
        <v>11800</v>
      </c>
      <c r="U3" s="4">
        <f t="shared" ref="U3:U66" si="5">S3-T3</f>
        <v>0</v>
      </c>
      <c r="V3" s="49">
        <v>11800</v>
      </c>
      <c r="W3" s="49">
        <f t="shared" ref="W3:W66" si="6">ROUND(S3-V3,2)</f>
        <v>0</v>
      </c>
      <c r="X3" s="46"/>
    </row>
    <row r="4" spans="1:24" x14ac:dyDescent="0.25">
      <c r="A4" s="7">
        <v>3</v>
      </c>
      <c r="B4" s="48" t="s">
        <v>193</v>
      </c>
      <c r="C4" s="38" t="s">
        <v>412</v>
      </c>
      <c r="D4" s="38" t="s">
        <v>284</v>
      </c>
      <c r="E4" s="38" t="s">
        <v>413</v>
      </c>
      <c r="F4" s="38" t="s">
        <v>256</v>
      </c>
      <c r="G4" s="38" t="s">
        <v>3</v>
      </c>
      <c r="H4" s="7" t="s">
        <v>447</v>
      </c>
      <c r="I4" s="7">
        <v>10000</v>
      </c>
      <c r="J4" s="7">
        <v>10000</v>
      </c>
      <c r="K4" s="7">
        <v>1</v>
      </c>
      <c r="L4" s="7" t="s">
        <v>4</v>
      </c>
      <c r="M4" s="2">
        <f t="shared" si="0"/>
        <v>10000</v>
      </c>
      <c r="N4" s="7">
        <v>0</v>
      </c>
      <c r="O4" s="5">
        <f t="shared" si="1"/>
        <v>10000</v>
      </c>
      <c r="P4" s="4">
        <f t="shared" si="2"/>
        <v>1800</v>
      </c>
      <c r="Q4" s="2">
        <f t="shared" si="3"/>
        <v>11800</v>
      </c>
      <c r="R4" s="7">
        <v>0</v>
      </c>
      <c r="S4" s="49">
        <f t="shared" si="4"/>
        <v>11800</v>
      </c>
      <c r="T4" s="49">
        <v>11800</v>
      </c>
      <c r="U4" s="4">
        <f t="shared" si="5"/>
        <v>0</v>
      </c>
      <c r="V4" s="49">
        <v>11800</v>
      </c>
      <c r="W4" s="49">
        <f t="shared" si="6"/>
        <v>0</v>
      </c>
      <c r="X4" s="46"/>
    </row>
    <row r="5" spans="1:24" x14ac:dyDescent="0.25">
      <c r="A5" s="7">
        <v>4</v>
      </c>
      <c r="B5" s="48" t="s">
        <v>388</v>
      </c>
      <c r="C5" s="38" t="s">
        <v>389</v>
      </c>
      <c r="D5" s="38" t="s">
        <v>389</v>
      </c>
      <c r="E5" s="38" t="s">
        <v>390</v>
      </c>
      <c r="F5" s="38" t="s">
        <v>237</v>
      </c>
      <c r="G5" s="38" t="s">
        <v>3</v>
      </c>
      <c r="H5" s="7" t="s">
        <v>447</v>
      </c>
      <c r="I5" s="7">
        <v>10000</v>
      </c>
      <c r="J5" s="7">
        <v>10000</v>
      </c>
      <c r="K5" s="7">
        <v>1</v>
      </c>
      <c r="L5" s="7" t="s">
        <v>4</v>
      </c>
      <c r="M5" s="2">
        <f t="shared" si="0"/>
        <v>10000</v>
      </c>
      <c r="N5" s="7">
        <v>0</v>
      </c>
      <c r="O5" s="5">
        <f t="shared" si="1"/>
        <v>10000</v>
      </c>
      <c r="P5" s="4">
        <f t="shared" si="2"/>
        <v>1800</v>
      </c>
      <c r="Q5" s="2">
        <f t="shared" si="3"/>
        <v>11800</v>
      </c>
      <c r="R5" s="7">
        <v>0</v>
      </c>
      <c r="S5" s="49">
        <f t="shared" si="4"/>
        <v>11800</v>
      </c>
      <c r="T5" s="49">
        <v>11800</v>
      </c>
      <c r="U5" s="4">
        <f t="shared" si="5"/>
        <v>0</v>
      </c>
      <c r="V5" s="49">
        <v>11800</v>
      </c>
      <c r="W5" s="49">
        <f t="shared" si="6"/>
        <v>0</v>
      </c>
      <c r="X5" s="46"/>
    </row>
    <row r="6" spans="1:24" x14ac:dyDescent="0.25">
      <c r="A6" s="7">
        <v>5</v>
      </c>
      <c r="B6" s="48" t="s">
        <v>267</v>
      </c>
      <c r="C6" s="38" t="s">
        <v>268</v>
      </c>
      <c r="D6" s="38" t="s">
        <v>268</v>
      </c>
      <c r="E6" s="38" t="s">
        <v>334</v>
      </c>
      <c r="F6" s="38" t="s">
        <v>245</v>
      </c>
      <c r="G6" s="38" t="s">
        <v>3</v>
      </c>
      <c r="H6" s="7" t="s">
        <v>447</v>
      </c>
      <c r="I6" s="7">
        <v>10000</v>
      </c>
      <c r="J6" s="7">
        <v>10000</v>
      </c>
      <c r="K6" s="7">
        <v>1</v>
      </c>
      <c r="L6" s="7" t="s">
        <v>4</v>
      </c>
      <c r="M6" s="2">
        <f t="shared" si="0"/>
        <v>10000</v>
      </c>
      <c r="N6" s="7">
        <v>0</v>
      </c>
      <c r="O6" s="5">
        <f t="shared" si="1"/>
        <v>10000</v>
      </c>
      <c r="P6" s="4">
        <f t="shared" si="2"/>
        <v>1800</v>
      </c>
      <c r="Q6" s="2">
        <f t="shared" si="3"/>
        <v>11800</v>
      </c>
      <c r="R6" s="7">
        <v>-0.72</v>
      </c>
      <c r="S6" s="49">
        <f t="shared" si="4"/>
        <v>11799.28</v>
      </c>
      <c r="T6" s="49">
        <v>11799.28</v>
      </c>
      <c r="U6" s="4">
        <f t="shared" si="5"/>
        <v>0</v>
      </c>
      <c r="V6" s="49">
        <v>11799.28</v>
      </c>
      <c r="W6" s="49">
        <f t="shared" si="6"/>
        <v>0</v>
      </c>
      <c r="X6" s="46"/>
    </row>
    <row r="7" spans="1:24" x14ac:dyDescent="0.25">
      <c r="A7" s="7">
        <v>6</v>
      </c>
      <c r="B7" s="48" t="s">
        <v>131</v>
      </c>
      <c r="C7" s="38" t="s">
        <v>238</v>
      </c>
      <c r="D7" s="38" t="s">
        <v>132</v>
      </c>
      <c r="E7" s="38" t="s">
        <v>214</v>
      </c>
      <c r="F7" s="38" t="s">
        <v>239</v>
      </c>
      <c r="G7" s="38" t="s">
        <v>3</v>
      </c>
      <c r="H7" s="7" t="s">
        <v>447</v>
      </c>
      <c r="I7" s="7">
        <v>10000</v>
      </c>
      <c r="J7" s="7">
        <v>10000</v>
      </c>
      <c r="K7" s="7">
        <v>1</v>
      </c>
      <c r="L7" s="7" t="s">
        <v>4</v>
      </c>
      <c r="M7" s="2">
        <f t="shared" si="0"/>
        <v>10000</v>
      </c>
      <c r="N7" s="7">
        <v>0</v>
      </c>
      <c r="O7" s="5">
        <f t="shared" si="1"/>
        <v>10000</v>
      </c>
      <c r="P7" s="4">
        <f t="shared" si="2"/>
        <v>1800</v>
      </c>
      <c r="Q7" s="2">
        <f t="shared" si="3"/>
        <v>11800</v>
      </c>
      <c r="R7" s="7">
        <v>0.46</v>
      </c>
      <c r="S7" s="49">
        <f t="shared" si="4"/>
        <v>11800.46</v>
      </c>
      <c r="T7" s="49">
        <v>11800.46</v>
      </c>
      <c r="U7" s="4">
        <f t="shared" si="5"/>
        <v>0</v>
      </c>
      <c r="V7" s="49">
        <v>11800.46</v>
      </c>
      <c r="W7" s="49">
        <f t="shared" si="6"/>
        <v>0</v>
      </c>
      <c r="X7" s="46"/>
    </row>
    <row r="8" spans="1:24" x14ac:dyDescent="0.25">
      <c r="A8" s="7">
        <v>7</v>
      </c>
      <c r="B8" s="48" t="s">
        <v>939</v>
      </c>
      <c r="C8" s="38" t="s">
        <v>415</v>
      </c>
      <c r="D8" s="38" t="s">
        <v>416</v>
      </c>
      <c r="E8" s="38" t="s">
        <v>940</v>
      </c>
      <c r="F8" s="38" t="s">
        <v>249</v>
      </c>
      <c r="G8" s="38" t="s">
        <v>3</v>
      </c>
      <c r="H8" s="7" t="s">
        <v>447</v>
      </c>
      <c r="I8" s="7">
        <v>10000</v>
      </c>
      <c r="J8" s="7">
        <v>10000</v>
      </c>
      <c r="K8" s="7">
        <v>1</v>
      </c>
      <c r="L8" s="7" t="s">
        <v>4</v>
      </c>
      <c r="M8" s="2">
        <f t="shared" si="0"/>
        <v>10000</v>
      </c>
      <c r="N8" s="7">
        <v>0</v>
      </c>
      <c r="O8" s="5">
        <f t="shared" si="1"/>
        <v>10000</v>
      </c>
      <c r="P8" s="4">
        <f t="shared" si="2"/>
        <v>1800</v>
      </c>
      <c r="Q8" s="2">
        <f t="shared" si="3"/>
        <v>11800</v>
      </c>
      <c r="R8" s="7">
        <v>1.1000000000000001</v>
      </c>
      <c r="S8" s="49">
        <f t="shared" si="4"/>
        <v>11801.1</v>
      </c>
      <c r="T8" s="49">
        <v>11801.1</v>
      </c>
      <c r="U8" s="4">
        <f t="shared" si="5"/>
        <v>0</v>
      </c>
      <c r="V8" s="49">
        <v>11801.1</v>
      </c>
      <c r="W8" s="49">
        <f t="shared" si="6"/>
        <v>0</v>
      </c>
      <c r="X8" s="46"/>
    </row>
    <row r="9" spans="1:24" x14ac:dyDescent="0.25">
      <c r="A9" s="7">
        <v>8</v>
      </c>
      <c r="B9" s="48" t="s">
        <v>451</v>
      </c>
      <c r="C9" s="38" t="s">
        <v>452</v>
      </c>
      <c r="D9" s="38" t="s">
        <v>452</v>
      </c>
      <c r="E9" s="38" t="s">
        <v>453</v>
      </c>
      <c r="F9" s="38" t="s">
        <v>242</v>
      </c>
      <c r="G9" s="38" t="s">
        <v>3</v>
      </c>
      <c r="H9" s="7" t="s">
        <v>447</v>
      </c>
      <c r="I9" s="7">
        <v>10000</v>
      </c>
      <c r="J9" s="7">
        <v>10000</v>
      </c>
      <c r="K9" s="7">
        <v>1</v>
      </c>
      <c r="L9" s="7" t="s">
        <v>4</v>
      </c>
      <c r="M9" s="2">
        <f t="shared" si="0"/>
        <v>10000</v>
      </c>
      <c r="N9" s="7">
        <v>0</v>
      </c>
      <c r="O9" s="5">
        <f t="shared" si="1"/>
        <v>10000</v>
      </c>
      <c r="P9" s="4">
        <f t="shared" si="2"/>
        <v>1800</v>
      </c>
      <c r="Q9" s="2">
        <f t="shared" si="3"/>
        <v>11800</v>
      </c>
      <c r="R9" s="7">
        <v>0.24</v>
      </c>
      <c r="S9" s="49">
        <f t="shared" si="4"/>
        <v>11800.24</v>
      </c>
      <c r="T9" s="49">
        <v>11800.24</v>
      </c>
      <c r="U9" s="4">
        <f t="shared" si="5"/>
        <v>0</v>
      </c>
      <c r="V9" s="49">
        <v>11800.24</v>
      </c>
      <c r="W9" s="49">
        <f t="shared" si="6"/>
        <v>0</v>
      </c>
      <c r="X9" s="46"/>
    </row>
    <row r="10" spans="1:24" x14ac:dyDescent="0.25">
      <c r="A10" s="7">
        <v>9</v>
      </c>
      <c r="B10" s="48" t="s">
        <v>133</v>
      </c>
      <c r="C10" s="38" t="s">
        <v>134</v>
      </c>
      <c r="D10" s="38" t="s">
        <v>134</v>
      </c>
      <c r="E10" s="38" t="s">
        <v>212</v>
      </c>
      <c r="F10" s="38" t="s">
        <v>241</v>
      </c>
      <c r="G10" s="38" t="s">
        <v>3</v>
      </c>
      <c r="H10" s="7" t="s">
        <v>447</v>
      </c>
      <c r="I10" s="7">
        <v>20000</v>
      </c>
      <c r="J10" s="7">
        <v>20000</v>
      </c>
      <c r="K10" s="7">
        <v>1.5</v>
      </c>
      <c r="L10" s="7" t="s">
        <v>4</v>
      </c>
      <c r="M10" s="2">
        <f t="shared" si="0"/>
        <v>30000</v>
      </c>
      <c r="N10" s="7">
        <v>0</v>
      </c>
      <c r="O10" s="5">
        <f t="shared" si="1"/>
        <v>30000</v>
      </c>
      <c r="P10" s="4">
        <f t="shared" si="2"/>
        <v>5400</v>
      </c>
      <c r="Q10" s="2">
        <f t="shared" si="3"/>
        <v>35400</v>
      </c>
      <c r="R10" s="7">
        <v>0</v>
      </c>
      <c r="S10" s="49">
        <f t="shared" si="4"/>
        <v>35400</v>
      </c>
      <c r="T10" s="49">
        <v>35400</v>
      </c>
      <c r="U10" s="4">
        <f t="shared" si="5"/>
        <v>0</v>
      </c>
      <c r="V10" s="49">
        <v>35400</v>
      </c>
      <c r="W10" s="49">
        <f t="shared" si="6"/>
        <v>0</v>
      </c>
      <c r="X10" s="46"/>
    </row>
    <row r="11" spans="1:24" x14ac:dyDescent="0.25">
      <c r="A11" s="7">
        <v>10</v>
      </c>
      <c r="B11" s="48" t="s">
        <v>125</v>
      </c>
      <c r="C11" s="38" t="s">
        <v>126</v>
      </c>
      <c r="D11" s="38" t="s">
        <v>126</v>
      </c>
      <c r="E11" s="38" t="s">
        <v>124</v>
      </c>
      <c r="F11" s="38" t="s">
        <v>242</v>
      </c>
      <c r="G11" s="38" t="s">
        <v>3</v>
      </c>
      <c r="H11" s="7" t="s">
        <v>447</v>
      </c>
      <c r="I11" s="7">
        <v>10000</v>
      </c>
      <c r="J11" s="7">
        <v>10000</v>
      </c>
      <c r="K11" s="7">
        <v>1</v>
      </c>
      <c r="L11" s="7" t="s">
        <v>4</v>
      </c>
      <c r="M11" s="2">
        <f t="shared" si="0"/>
        <v>10000</v>
      </c>
      <c r="N11" s="7">
        <v>0</v>
      </c>
      <c r="O11" s="5">
        <f t="shared" si="1"/>
        <v>10000</v>
      </c>
      <c r="P11" s="4">
        <f t="shared" si="2"/>
        <v>1800</v>
      </c>
      <c r="Q11" s="2">
        <f t="shared" si="3"/>
        <v>11800</v>
      </c>
      <c r="R11" s="7">
        <v>9.33</v>
      </c>
      <c r="S11" s="49">
        <f t="shared" si="4"/>
        <v>11809.33</v>
      </c>
      <c r="T11" s="49">
        <v>11809.33</v>
      </c>
      <c r="U11" s="4">
        <f t="shared" si="5"/>
        <v>0</v>
      </c>
      <c r="V11" s="49">
        <v>11809.33</v>
      </c>
      <c r="W11" s="49">
        <f t="shared" si="6"/>
        <v>0</v>
      </c>
      <c r="X11" s="46"/>
    </row>
    <row r="12" spans="1:24" x14ac:dyDescent="0.25">
      <c r="A12" s="7">
        <v>11</v>
      </c>
      <c r="B12" s="48" t="s">
        <v>135</v>
      </c>
      <c r="C12" s="38" t="s">
        <v>136</v>
      </c>
      <c r="D12" s="38" t="s">
        <v>136</v>
      </c>
      <c r="E12" s="38" t="s">
        <v>213</v>
      </c>
      <c r="F12" s="38" t="s">
        <v>236</v>
      </c>
      <c r="G12" s="38" t="s">
        <v>3</v>
      </c>
      <c r="H12" s="7" t="s">
        <v>447</v>
      </c>
      <c r="I12" s="7">
        <v>10000</v>
      </c>
      <c r="J12" s="7">
        <v>10000</v>
      </c>
      <c r="K12" s="7">
        <v>1</v>
      </c>
      <c r="L12" s="7" t="s">
        <v>4</v>
      </c>
      <c r="M12" s="2">
        <f t="shared" si="0"/>
        <v>10000</v>
      </c>
      <c r="N12" s="7">
        <v>0</v>
      </c>
      <c r="O12" s="5">
        <f t="shared" si="1"/>
        <v>10000</v>
      </c>
      <c r="P12" s="4">
        <f t="shared" si="2"/>
        <v>1800</v>
      </c>
      <c r="Q12" s="2">
        <f t="shared" si="3"/>
        <v>11800</v>
      </c>
      <c r="R12" s="7">
        <v>112.68</v>
      </c>
      <c r="S12" s="49">
        <f t="shared" si="4"/>
        <v>11912.68</v>
      </c>
      <c r="T12" s="49">
        <v>11912.68</v>
      </c>
      <c r="U12" s="4">
        <f t="shared" si="5"/>
        <v>0</v>
      </c>
      <c r="V12" s="49">
        <v>11912.68</v>
      </c>
      <c r="W12" s="49">
        <f t="shared" si="6"/>
        <v>0</v>
      </c>
      <c r="X12" s="46"/>
    </row>
    <row r="13" spans="1:24" x14ac:dyDescent="0.25">
      <c r="A13" s="7">
        <v>12</v>
      </c>
      <c r="B13" s="48" t="s">
        <v>302</v>
      </c>
      <c r="C13" s="38" t="s">
        <v>303</v>
      </c>
      <c r="D13" s="38" t="s">
        <v>304</v>
      </c>
      <c r="E13" s="38" t="s">
        <v>305</v>
      </c>
      <c r="F13" s="38" t="s">
        <v>242</v>
      </c>
      <c r="G13" s="38" t="s">
        <v>3</v>
      </c>
      <c r="H13" s="7" t="s">
        <v>447</v>
      </c>
      <c r="I13" s="7">
        <v>400000</v>
      </c>
      <c r="J13" s="7">
        <v>400000</v>
      </c>
      <c r="K13" s="7">
        <v>0.65</v>
      </c>
      <c r="L13" s="7" t="s">
        <v>4</v>
      </c>
      <c r="M13" s="2">
        <f t="shared" si="0"/>
        <v>260000</v>
      </c>
      <c r="N13" s="7">
        <v>0</v>
      </c>
      <c r="O13" s="5">
        <f t="shared" si="1"/>
        <v>260000</v>
      </c>
      <c r="P13" s="4">
        <f t="shared" si="2"/>
        <v>46800</v>
      </c>
      <c r="Q13" s="2">
        <f t="shared" si="3"/>
        <v>306800</v>
      </c>
      <c r="R13" s="7">
        <v>-0.15</v>
      </c>
      <c r="S13" s="49">
        <f t="shared" si="4"/>
        <v>306799.84999999998</v>
      </c>
      <c r="T13" s="49">
        <v>306799.84999999998</v>
      </c>
      <c r="U13" s="4">
        <f t="shared" si="5"/>
        <v>0</v>
      </c>
      <c r="V13" s="49">
        <v>306799.84999999998</v>
      </c>
      <c r="W13" s="49">
        <f t="shared" si="6"/>
        <v>0</v>
      </c>
      <c r="X13" s="46"/>
    </row>
    <row r="14" spans="1:24" x14ac:dyDescent="0.25">
      <c r="A14" s="7">
        <v>13</v>
      </c>
      <c r="B14" s="48" t="s">
        <v>306</v>
      </c>
      <c r="C14" s="38" t="s">
        <v>314</v>
      </c>
      <c r="D14" s="38" t="s">
        <v>315</v>
      </c>
      <c r="E14" s="38" t="s">
        <v>316</v>
      </c>
      <c r="F14" s="38" t="s">
        <v>237</v>
      </c>
      <c r="G14" s="38" t="s">
        <v>3</v>
      </c>
      <c r="H14" s="7" t="s">
        <v>447</v>
      </c>
      <c r="I14" s="7">
        <v>50000</v>
      </c>
      <c r="J14" s="7">
        <v>50000</v>
      </c>
      <c r="K14" s="7">
        <v>1.25</v>
      </c>
      <c r="L14" s="7" t="s">
        <v>4</v>
      </c>
      <c r="M14" s="2">
        <f t="shared" si="0"/>
        <v>62500</v>
      </c>
      <c r="N14" s="7">
        <v>0</v>
      </c>
      <c r="O14" s="5">
        <f t="shared" si="1"/>
        <v>62500</v>
      </c>
      <c r="P14" s="4">
        <f t="shared" si="2"/>
        <v>11250</v>
      </c>
      <c r="Q14" s="2">
        <f t="shared" si="3"/>
        <v>73750</v>
      </c>
      <c r="R14" s="7">
        <v>-4068.65</v>
      </c>
      <c r="S14" s="49">
        <f t="shared" si="4"/>
        <v>69681.350000000006</v>
      </c>
      <c r="T14" s="49">
        <v>69681.350000000006</v>
      </c>
      <c r="U14" s="4">
        <f t="shared" si="5"/>
        <v>0</v>
      </c>
      <c r="V14" s="49">
        <v>69681.350000000006</v>
      </c>
      <c r="W14" s="49">
        <f t="shared" si="6"/>
        <v>0</v>
      </c>
      <c r="X14" s="46"/>
    </row>
    <row r="15" spans="1:24" x14ac:dyDescent="0.25">
      <c r="A15" s="7">
        <v>14</v>
      </c>
      <c r="B15" s="48" t="s">
        <v>377</v>
      </c>
      <c r="C15" s="38" t="s">
        <v>378</v>
      </c>
      <c r="D15" s="38" t="s">
        <v>378</v>
      </c>
      <c r="E15" s="38" t="s">
        <v>379</v>
      </c>
      <c r="F15" s="38" t="s">
        <v>246</v>
      </c>
      <c r="G15" s="38" t="s">
        <v>3</v>
      </c>
      <c r="H15" s="7" t="s">
        <v>447</v>
      </c>
      <c r="I15" s="7">
        <v>200000</v>
      </c>
      <c r="J15" s="7">
        <v>362461</v>
      </c>
      <c r="K15" s="7">
        <v>0.5</v>
      </c>
      <c r="L15" s="7" t="s">
        <v>4</v>
      </c>
      <c r="M15" s="2">
        <f t="shared" si="0"/>
        <v>181230.5</v>
      </c>
      <c r="N15" s="7">
        <v>0</v>
      </c>
      <c r="O15" s="5">
        <f t="shared" si="1"/>
        <v>181230.5</v>
      </c>
      <c r="P15" s="4">
        <f t="shared" si="2"/>
        <v>32621.489999999998</v>
      </c>
      <c r="Q15" s="2">
        <f t="shared" si="3"/>
        <v>213851.99</v>
      </c>
      <c r="R15" s="7">
        <v>212547.23</v>
      </c>
      <c r="S15" s="49">
        <f t="shared" si="4"/>
        <v>426399.22</v>
      </c>
      <c r="T15" s="49">
        <v>426399.22</v>
      </c>
      <c r="U15" s="4">
        <f t="shared" si="5"/>
        <v>0</v>
      </c>
      <c r="V15" s="49">
        <v>426399.22</v>
      </c>
      <c r="W15" s="49">
        <f t="shared" si="6"/>
        <v>0</v>
      </c>
      <c r="X15" s="46"/>
    </row>
    <row r="16" spans="1:24" x14ac:dyDescent="0.25">
      <c r="A16" s="7">
        <v>15</v>
      </c>
      <c r="B16" s="48" t="s">
        <v>196</v>
      </c>
      <c r="C16" s="38" t="s">
        <v>197</v>
      </c>
      <c r="D16" s="38" t="s">
        <v>197</v>
      </c>
      <c r="E16" s="38" t="s">
        <v>31</v>
      </c>
      <c r="F16" s="38" t="s">
        <v>243</v>
      </c>
      <c r="G16" s="38" t="s">
        <v>3</v>
      </c>
      <c r="H16" s="7" t="s">
        <v>117</v>
      </c>
      <c r="I16" s="7">
        <v>1000</v>
      </c>
      <c r="J16" s="7">
        <v>1791</v>
      </c>
      <c r="K16" s="7">
        <v>1</v>
      </c>
      <c r="L16" s="7" t="s">
        <v>4</v>
      </c>
      <c r="M16" s="2">
        <f t="shared" si="0"/>
        <v>1791</v>
      </c>
      <c r="N16" s="7">
        <v>0</v>
      </c>
      <c r="O16" s="5">
        <f t="shared" si="1"/>
        <v>1791</v>
      </c>
      <c r="P16" s="4">
        <f t="shared" si="2"/>
        <v>322.38</v>
      </c>
      <c r="Q16" s="2">
        <f t="shared" si="3"/>
        <v>2113.38</v>
      </c>
      <c r="R16" s="7">
        <v>545.95000000000005</v>
      </c>
      <c r="S16" s="49">
        <f t="shared" si="4"/>
        <v>2659.33</v>
      </c>
      <c r="T16" s="49">
        <v>2659.33</v>
      </c>
      <c r="U16" s="4">
        <f t="shared" si="5"/>
        <v>0</v>
      </c>
      <c r="V16" s="49">
        <v>2659.33</v>
      </c>
      <c r="W16" s="49">
        <f t="shared" si="6"/>
        <v>0</v>
      </c>
      <c r="X16" s="46"/>
    </row>
    <row r="17" spans="1:24" x14ac:dyDescent="0.25">
      <c r="A17" s="7">
        <v>16</v>
      </c>
      <c r="B17" s="48" t="s">
        <v>355</v>
      </c>
      <c r="C17" s="38" t="s">
        <v>297</v>
      </c>
      <c r="D17" s="38" t="s">
        <v>297</v>
      </c>
      <c r="E17" s="38" t="s">
        <v>356</v>
      </c>
      <c r="F17" s="38" t="s">
        <v>240</v>
      </c>
      <c r="G17" s="38" t="s">
        <v>3</v>
      </c>
      <c r="H17" s="7" t="s">
        <v>117</v>
      </c>
      <c r="I17" s="7">
        <v>1000</v>
      </c>
      <c r="J17" s="7">
        <v>3265</v>
      </c>
      <c r="K17" s="7">
        <v>2</v>
      </c>
      <c r="L17" s="7" t="s">
        <v>4</v>
      </c>
      <c r="M17" s="2">
        <f t="shared" si="0"/>
        <v>6530</v>
      </c>
      <c r="N17" s="7">
        <v>0</v>
      </c>
      <c r="O17" s="5">
        <f t="shared" si="1"/>
        <v>6530</v>
      </c>
      <c r="P17" s="4">
        <f t="shared" si="2"/>
        <v>1175.3999999999999</v>
      </c>
      <c r="Q17" s="2">
        <f t="shared" si="3"/>
        <v>7705.4</v>
      </c>
      <c r="R17" s="7">
        <v>0</v>
      </c>
      <c r="S17" s="49">
        <f t="shared" si="4"/>
        <v>7705.4</v>
      </c>
      <c r="T17" s="49">
        <v>7705.4</v>
      </c>
      <c r="U17" s="4">
        <f t="shared" si="5"/>
        <v>0</v>
      </c>
      <c r="V17" s="49">
        <v>7705.4</v>
      </c>
      <c r="W17" s="49">
        <f t="shared" si="6"/>
        <v>0</v>
      </c>
      <c r="X17" s="46"/>
    </row>
    <row r="18" spans="1:24" x14ac:dyDescent="0.25">
      <c r="A18" s="7">
        <v>17</v>
      </c>
      <c r="B18" s="48" t="s">
        <v>309</v>
      </c>
      <c r="C18" s="38" t="s">
        <v>310</v>
      </c>
      <c r="D18" s="38" t="s">
        <v>311</v>
      </c>
      <c r="E18" s="38" t="s">
        <v>312</v>
      </c>
      <c r="F18" s="38" t="s">
        <v>237</v>
      </c>
      <c r="G18" s="38" t="s">
        <v>3</v>
      </c>
      <c r="H18" s="7" t="s">
        <v>117</v>
      </c>
      <c r="I18" s="7">
        <v>1000</v>
      </c>
      <c r="J18" s="7">
        <v>6100</v>
      </c>
      <c r="K18" s="7">
        <v>1.5</v>
      </c>
      <c r="L18" s="7" t="s">
        <v>4</v>
      </c>
      <c r="M18" s="2">
        <f t="shared" si="0"/>
        <v>9150</v>
      </c>
      <c r="N18" s="7">
        <v>0</v>
      </c>
      <c r="O18" s="5">
        <f t="shared" si="1"/>
        <v>9150</v>
      </c>
      <c r="P18" s="4">
        <f t="shared" si="2"/>
        <v>1647</v>
      </c>
      <c r="Q18" s="2">
        <f t="shared" si="3"/>
        <v>10797</v>
      </c>
      <c r="R18" s="7">
        <v>0.34</v>
      </c>
      <c r="S18" s="49">
        <f t="shared" si="4"/>
        <v>10797.34</v>
      </c>
      <c r="T18" s="49">
        <v>10797.34</v>
      </c>
      <c r="U18" s="4">
        <f t="shared" si="5"/>
        <v>0</v>
      </c>
      <c r="V18" s="49">
        <v>10797.34</v>
      </c>
      <c r="W18" s="49">
        <f t="shared" si="6"/>
        <v>0</v>
      </c>
      <c r="X18" s="46"/>
    </row>
    <row r="19" spans="1:24" x14ac:dyDescent="0.25">
      <c r="A19" s="7">
        <v>18</v>
      </c>
      <c r="B19" s="48" t="s">
        <v>285</v>
      </c>
      <c r="C19" s="38" t="s">
        <v>286</v>
      </c>
      <c r="D19" s="38" t="s">
        <v>286</v>
      </c>
      <c r="E19" s="38" t="s">
        <v>287</v>
      </c>
      <c r="F19" s="38" t="s">
        <v>242</v>
      </c>
      <c r="G19" s="38" t="s">
        <v>3</v>
      </c>
      <c r="H19" s="7" t="s">
        <v>117</v>
      </c>
      <c r="I19" s="7">
        <v>15000</v>
      </c>
      <c r="J19" s="7">
        <v>15000</v>
      </c>
      <c r="K19" s="7">
        <v>0.85</v>
      </c>
      <c r="L19" s="7" t="s">
        <v>4</v>
      </c>
      <c r="M19" s="2">
        <f t="shared" si="0"/>
        <v>12750</v>
      </c>
      <c r="N19" s="7">
        <v>0</v>
      </c>
      <c r="O19" s="5">
        <f t="shared" si="1"/>
        <v>12750</v>
      </c>
      <c r="P19" s="4">
        <f t="shared" si="2"/>
        <v>2295</v>
      </c>
      <c r="Q19" s="2">
        <f t="shared" si="3"/>
        <v>15045</v>
      </c>
      <c r="R19" s="7">
        <v>0</v>
      </c>
      <c r="S19" s="49">
        <f t="shared" si="4"/>
        <v>15045</v>
      </c>
      <c r="T19" s="49">
        <v>15045</v>
      </c>
      <c r="U19" s="4">
        <f t="shared" si="5"/>
        <v>0</v>
      </c>
      <c r="V19" s="49">
        <v>15045</v>
      </c>
      <c r="W19" s="49">
        <f t="shared" si="6"/>
        <v>0</v>
      </c>
      <c r="X19" s="46"/>
    </row>
    <row r="20" spans="1:24" x14ac:dyDescent="0.25">
      <c r="A20" s="7">
        <v>19</v>
      </c>
      <c r="B20" s="48" t="s">
        <v>369</v>
      </c>
      <c r="C20" s="38" t="s">
        <v>370</v>
      </c>
      <c r="D20" s="38" t="s">
        <v>370</v>
      </c>
      <c r="E20" s="38" t="s">
        <v>371</v>
      </c>
      <c r="F20" s="38" t="s">
        <v>245</v>
      </c>
      <c r="G20" s="38" t="s">
        <v>3</v>
      </c>
      <c r="H20" s="7" t="s">
        <v>117</v>
      </c>
      <c r="I20" s="7">
        <v>1000</v>
      </c>
      <c r="J20" s="7">
        <v>1000</v>
      </c>
      <c r="K20" s="7">
        <v>2</v>
      </c>
      <c r="L20" s="7" t="s">
        <v>4</v>
      </c>
      <c r="M20" s="2">
        <f t="shared" si="0"/>
        <v>2000</v>
      </c>
      <c r="N20" s="7">
        <v>0</v>
      </c>
      <c r="O20" s="5">
        <f t="shared" si="1"/>
        <v>2000</v>
      </c>
      <c r="P20" s="4">
        <f t="shared" si="2"/>
        <v>360</v>
      </c>
      <c r="Q20" s="2">
        <f t="shared" si="3"/>
        <v>2360</v>
      </c>
      <c r="R20" s="7">
        <v>-7079.02</v>
      </c>
      <c r="S20" s="49">
        <f t="shared" si="4"/>
        <v>-4719.0200000000004</v>
      </c>
      <c r="T20" s="49">
        <v>-4719.0200000000004</v>
      </c>
      <c r="U20" s="4">
        <f t="shared" si="5"/>
        <v>0</v>
      </c>
      <c r="V20" s="49">
        <v>-4719.0200000000004</v>
      </c>
      <c r="W20" s="49">
        <f t="shared" si="6"/>
        <v>0</v>
      </c>
      <c r="X20" s="46"/>
    </row>
    <row r="21" spans="1:24" x14ac:dyDescent="0.25">
      <c r="A21" s="7">
        <v>20</v>
      </c>
      <c r="B21" s="48" t="s">
        <v>350</v>
      </c>
      <c r="C21" s="38" t="s">
        <v>351</v>
      </c>
      <c r="D21" s="38" t="s">
        <v>351</v>
      </c>
      <c r="E21" s="38" t="s">
        <v>352</v>
      </c>
      <c r="F21" s="38" t="s">
        <v>258</v>
      </c>
      <c r="G21" s="38" t="s">
        <v>3</v>
      </c>
      <c r="H21" s="7" t="s">
        <v>117</v>
      </c>
      <c r="I21" s="7">
        <v>1000</v>
      </c>
      <c r="J21" s="7">
        <v>1000</v>
      </c>
      <c r="K21" s="7">
        <v>2</v>
      </c>
      <c r="L21" s="7" t="s">
        <v>4</v>
      </c>
      <c r="M21" s="2">
        <f t="shared" si="0"/>
        <v>2000</v>
      </c>
      <c r="N21" s="7">
        <v>0</v>
      </c>
      <c r="O21" s="5">
        <f t="shared" si="1"/>
        <v>2000</v>
      </c>
      <c r="P21" s="4">
        <f t="shared" si="2"/>
        <v>360</v>
      </c>
      <c r="Q21" s="2">
        <f t="shared" si="3"/>
        <v>2360</v>
      </c>
      <c r="R21" s="7">
        <v>0</v>
      </c>
      <c r="S21" s="49">
        <f t="shared" si="4"/>
        <v>2360</v>
      </c>
      <c r="T21" s="49">
        <v>2360</v>
      </c>
      <c r="U21" s="4">
        <f t="shared" si="5"/>
        <v>0</v>
      </c>
      <c r="V21" s="49">
        <v>2360</v>
      </c>
      <c r="W21" s="49">
        <f t="shared" si="6"/>
        <v>0</v>
      </c>
      <c r="X21" s="46"/>
    </row>
    <row r="22" spans="1:24" x14ac:dyDescent="0.25">
      <c r="A22" s="7">
        <v>21</v>
      </c>
      <c r="B22" s="48" t="s">
        <v>168</v>
      </c>
      <c r="C22" s="38" t="s">
        <v>16</v>
      </c>
      <c r="D22" s="38" t="s">
        <v>16</v>
      </c>
      <c r="E22" s="38" t="s">
        <v>15</v>
      </c>
      <c r="F22" s="38" t="s">
        <v>236</v>
      </c>
      <c r="G22" s="38" t="s">
        <v>3</v>
      </c>
      <c r="H22" s="7" t="s">
        <v>117</v>
      </c>
      <c r="I22" s="7">
        <v>1000</v>
      </c>
      <c r="J22" s="7">
        <v>1000</v>
      </c>
      <c r="K22" s="7">
        <v>2</v>
      </c>
      <c r="L22" s="7" t="s">
        <v>4</v>
      </c>
      <c r="M22" s="2">
        <f t="shared" si="0"/>
        <v>2000</v>
      </c>
      <c r="N22" s="7">
        <v>0</v>
      </c>
      <c r="O22" s="5">
        <f t="shared" si="1"/>
        <v>2000</v>
      </c>
      <c r="P22" s="4">
        <f t="shared" si="2"/>
        <v>360</v>
      </c>
      <c r="Q22" s="2">
        <f t="shared" si="3"/>
        <v>2360</v>
      </c>
      <c r="R22" s="7">
        <v>-0.43</v>
      </c>
      <c r="S22" s="49">
        <f t="shared" si="4"/>
        <v>2359.5700000000002</v>
      </c>
      <c r="T22" s="49">
        <v>2359.5700000000002</v>
      </c>
      <c r="U22" s="4">
        <f t="shared" si="5"/>
        <v>0</v>
      </c>
      <c r="V22" s="49">
        <v>2359.5700000000002</v>
      </c>
      <c r="W22" s="49">
        <f t="shared" si="6"/>
        <v>0</v>
      </c>
      <c r="X22" s="46"/>
    </row>
    <row r="23" spans="1:24" x14ac:dyDescent="0.25">
      <c r="A23" s="7">
        <v>22</v>
      </c>
      <c r="B23" s="48" t="s">
        <v>47</v>
      </c>
      <c r="C23" s="38" t="s">
        <v>48</v>
      </c>
      <c r="D23" s="38" t="s">
        <v>48</v>
      </c>
      <c r="E23" s="38" t="s">
        <v>410</v>
      </c>
      <c r="F23" s="38" t="s">
        <v>240</v>
      </c>
      <c r="G23" s="38" t="s">
        <v>3</v>
      </c>
      <c r="H23" s="7" t="s">
        <v>117</v>
      </c>
      <c r="I23" s="7">
        <v>5000</v>
      </c>
      <c r="J23" s="7">
        <v>5000</v>
      </c>
      <c r="K23" s="7">
        <v>1</v>
      </c>
      <c r="L23" s="7" t="s">
        <v>4</v>
      </c>
      <c r="M23" s="2">
        <f t="shared" si="0"/>
        <v>5000</v>
      </c>
      <c r="N23" s="7">
        <v>0</v>
      </c>
      <c r="O23" s="5">
        <f t="shared" si="1"/>
        <v>5000</v>
      </c>
      <c r="P23" s="4">
        <f t="shared" si="2"/>
        <v>900</v>
      </c>
      <c r="Q23" s="2">
        <f t="shared" si="3"/>
        <v>5900</v>
      </c>
      <c r="R23" s="7">
        <v>-0.39</v>
      </c>
      <c r="S23" s="49">
        <f t="shared" si="4"/>
        <v>5899.61</v>
      </c>
      <c r="T23" s="49">
        <v>5899.61</v>
      </c>
      <c r="U23" s="4">
        <f t="shared" si="5"/>
        <v>0</v>
      </c>
      <c r="V23" s="49">
        <v>5899.61</v>
      </c>
      <c r="W23" s="49">
        <f t="shared" si="6"/>
        <v>0</v>
      </c>
      <c r="X23" s="46"/>
    </row>
    <row r="24" spans="1:24" x14ac:dyDescent="0.25">
      <c r="A24" s="7">
        <v>23</v>
      </c>
      <c r="B24" s="48" t="s">
        <v>269</v>
      </c>
      <c r="C24" s="38" t="s">
        <v>270</v>
      </c>
      <c r="D24" s="38" t="s">
        <v>270</v>
      </c>
      <c r="E24" s="38" t="s">
        <v>271</v>
      </c>
      <c r="F24" s="38" t="s">
        <v>236</v>
      </c>
      <c r="G24" s="38" t="s">
        <v>3</v>
      </c>
      <c r="H24" s="7" t="s">
        <v>117</v>
      </c>
      <c r="I24" s="7">
        <v>15000</v>
      </c>
      <c r="J24" s="7">
        <v>15000</v>
      </c>
      <c r="K24" s="7">
        <v>0.8</v>
      </c>
      <c r="L24" s="7" t="s">
        <v>4</v>
      </c>
      <c r="M24" s="2">
        <f t="shared" si="0"/>
        <v>12000</v>
      </c>
      <c r="N24" s="7">
        <v>0</v>
      </c>
      <c r="O24" s="5">
        <f t="shared" si="1"/>
        <v>12000</v>
      </c>
      <c r="P24" s="4">
        <f t="shared" si="2"/>
        <v>2160</v>
      </c>
      <c r="Q24" s="2">
        <f t="shared" si="3"/>
        <v>14160</v>
      </c>
      <c r="R24" s="7">
        <v>-2318</v>
      </c>
      <c r="S24" s="49">
        <f t="shared" si="4"/>
        <v>11842</v>
      </c>
      <c r="T24" s="49">
        <v>11842</v>
      </c>
      <c r="U24" s="4">
        <f t="shared" si="5"/>
        <v>0</v>
      </c>
      <c r="V24" s="49">
        <v>11842</v>
      </c>
      <c r="W24" s="49">
        <f t="shared" si="6"/>
        <v>0</v>
      </c>
      <c r="X24" s="46"/>
    </row>
    <row r="25" spans="1:24" x14ac:dyDescent="0.25">
      <c r="A25" s="7">
        <v>24</v>
      </c>
      <c r="B25" s="48" t="s">
        <v>391</v>
      </c>
      <c r="C25" s="38" t="s">
        <v>392</v>
      </c>
      <c r="D25" s="38" t="s">
        <v>392</v>
      </c>
      <c r="E25" s="38" t="s">
        <v>393</v>
      </c>
      <c r="F25" s="38" t="s">
        <v>236</v>
      </c>
      <c r="G25" s="38" t="s">
        <v>3</v>
      </c>
      <c r="H25" s="7" t="s">
        <v>117</v>
      </c>
      <c r="I25" s="7">
        <v>1000</v>
      </c>
      <c r="J25" s="7">
        <v>1000</v>
      </c>
      <c r="K25" s="7">
        <v>2</v>
      </c>
      <c r="L25" s="7" t="s">
        <v>4</v>
      </c>
      <c r="M25" s="2">
        <f t="shared" si="0"/>
        <v>2000</v>
      </c>
      <c r="N25" s="7">
        <v>0</v>
      </c>
      <c r="O25" s="5">
        <f t="shared" si="1"/>
        <v>2000</v>
      </c>
      <c r="P25" s="4">
        <f t="shared" si="2"/>
        <v>360</v>
      </c>
      <c r="Q25" s="2">
        <f t="shared" si="3"/>
        <v>2360</v>
      </c>
      <c r="R25" s="7">
        <v>0</v>
      </c>
      <c r="S25" s="49">
        <f t="shared" si="4"/>
        <v>2360</v>
      </c>
      <c r="T25" s="49">
        <v>2360</v>
      </c>
      <c r="U25" s="4">
        <f t="shared" si="5"/>
        <v>0</v>
      </c>
      <c r="V25" s="49">
        <v>2360</v>
      </c>
      <c r="W25" s="49">
        <f t="shared" si="6"/>
        <v>0</v>
      </c>
      <c r="X25" s="46"/>
    </row>
    <row r="26" spans="1:24" x14ac:dyDescent="0.25">
      <c r="A26" s="7">
        <v>25</v>
      </c>
      <c r="B26" s="48" t="s">
        <v>322</v>
      </c>
      <c r="C26" s="38" t="s">
        <v>323</v>
      </c>
      <c r="D26" s="38" t="s">
        <v>324</v>
      </c>
      <c r="E26" s="38" t="s">
        <v>325</v>
      </c>
      <c r="F26" s="38" t="s">
        <v>248</v>
      </c>
      <c r="G26" s="38" t="s">
        <v>3</v>
      </c>
      <c r="H26" s="7" t="s">
        <v>117</v>
      </c>
      <c r="I26" s="7">
        <v>5000</v>
      </c>
      <c r="J26" s="7">
        <v>5000</v>
      </c>
      <c r="K26" s="7">
        <v>1</v>
      </c>
      <c r="L26" s="7" t="s">
        <v>4</v>
      </c>
      <c r="M26" s="2">
        <f t="shared" si="0"/>
        <v>5000</v>
      </c>
      <c r="N26" s="7">
        <v>0</v>
      </c>
      <c r="O26" s="5">
        <f t="shared" si="1"/>
        <v>5000</v>
      </c>
      <c r="P26" s="4">
        <f t="shared" si="2"/>
        <v>900</v>
      </c>
      <c r="Q26" s="2">
        <f t="shared" si="3"/>
        <v>5900</v>
      </c>
      <c r="R26" s="7">
        <v>-0.06</v>
      </c>
      <c r="S26" s="49">
        <f t="shared" si="4"/>
        <v>5899.94</v>
      </c>
      <c r="T26" s="49">
        <v>5899.94</v>
      </c>
      <c r="U26" s="4">
        <f t="shared" si="5"/>
        <v>0</v>
      </c>
      <c r="V26" s="49">
        <v>5899.94</v>
      </c>
      <c r="W26" s="49">
        <f t="shared" si="6"/>
        <v>0</v>
      </c>
      <c r="X26" s="46"/>
    </row>
    <row r="27" spans="1:24" x14ac:dyDescent="0.25">
      <c r="A27" s="7">
        <v>26</v>
      </c>
      <c r="B27" s="48" t="s">
        <v>156</v>
      </c>
      <c r="C27" s="38" t="s">
        <v>14</v>
      </c>
      <c r="D27" s="38" t="s">
        <v>14</v>
      </c>
      <c r="E27" s="38" t="s">
        <v>13</v>
      </c>
      <c r="F27" s="38" t="s">
        <v>237</v>
      </c>
      <c r="G27" s="38" t="s">
        <v>3</v>
      </c>
      <c r="H27" s="7" t="s">
        <v>117</v>
      </c>
      <c r="I27" s="7">
        <v>1000</v>
      </c>
      <c r="J27" s="7">
        <v>2055</v>
      </c>
      <c r="K27" s="7">
        <v>2</v>
      </c>
      <c r="L27" s="7" t="s">
        <v>4</v>
      </c>
      <c r="M27" s="2">
        <f t="shared" si="0"/>
        <v>4110</v>
      </c>
      <c r="N27" s="7">
        <v>0</v>
      </c>
      <c r="O27" s="5">
        <f t="shared" si="1"/>
        <v>4110</v>
      </c>
      <c r="P27" s="4">
        <f t="shared" si="2"/>
        <v>739.8</v>
      </c>
      <c r="Q27" s="2">
        <f t="shared" si="3"/>
        <v>4849.8</v>
      </c>
      <c r="R27" s="7">
        <v>-0.78</v>
      </c>
      <c r="S27" s="49">
        <f t="shared" si="4"/>
        <v>4849.0200000000004</v>
      </c>
      <c r="T27" s="49">
        <v>4849.0200000000004</v>
      </c>
      <c r="U27" s="4">
        <f t="shared" si="5"/>
        <v>0</v>
      </c>
      <c r="V27" s="49">
        <v>4849.0200000000004</v>
      </c>
      <c r="W27" s="49">
        <f t="shared" si="6"/>
        <v>0</v>
      </c>
      <c r="X27" s="46"/>
    </row>
    <row r="28" spans="1:24" x14ac:dyDescent="0.25">
      <c r="A28" s="7">
        <v>27</v>
      </c>
      <c r="B28" s="48" t="s">
        <v>8</v>
      </c>
      <c r="C28" s="38" t="s">
        <v>9</v>
      </c>
      <c r="D28" s="38" t="s">
        <v>9</v>
      </c>
      <c r="E28" s="38" t="s">
        <v>7</v>
      </c>
      <c r="F28" s="38" t="s">
        <v>243</v>
      </c>
      <c r="G28" s="38" t="s">
        <v>3</v>
      </c>
      <c r="H28" s="7" t="s">
        <v>117</v>
      </c>
      <c r="I28" s="7">
        <v>1000</v>
      </c>
      <c r="J28" s="7">
        <v>1000</v>
      </c>
      <c r="K28" s="7">
        <v>2</v>
      </c>
      <c r="L28" s="7" t="s">
        <v>4</v>
      </c>
      <c r="M28" s="2">
        <f t="shared" si="0"/>
        <v>2000</v>
      </c>
      <c r="N28" s="7">
        <v>0</v>
      </c>
      <c r="O28" s="5">
        <f t="shared" si="1"/>
        <v>2000</v>
      </c>
      <c r="P28" s="4">
        <f t="shared" si="2"/>
        <v>360</v>
      </c>
      <c r="Q28" s="2">
        <f t="shared" si="3"/>
        <v>2360</v>
      </c>
      <c r="R28" s="7">
        <v>-2359.6</v>
      </c>
      <c r="S28" s="49">
        <f t="shared" si="4"/>
        <v>0.40000000000009095</v>
      </c>
      <c r="T28" s="49">
        <v>0.4</v>
      </c>
      <c r="U28" s="4">
        <f t="shared" si="5"/>
        <v>9.0927265716800321E-14</v>
      </c>
      <c r="V28" s="49">
        <v>0.4</v>
      </c>
      <c r="W28" s="49">
        <f t="shared" si="6"/>
        <v>0</v>
      </c>
      <c r="X28" s="46"/>
    </row>
    <row r="29" spans="1:24" x14ac:dyDescent="0.25">
      <c r="A29" s="7">
        <v>28</v>
      </c>
      <c r="B29" s="48" t="s">
        <v>493</v>
      </c>
      <c r="C29" s="38" t="s">
        <v>494</v>
      </c>
      <c r="D29" s="38" t="s">
        <v>495</v>
      </c>
      <c r="E29" s="38" t="s">
        <v>496</v>
      </c>
      <c r="F29" s="38" t="s">
        <v>239</v>
      </c>
      <c r="G29" s="38" t="s">
        <v>3</v>
      </c>
      <c r="H29" s="7" t="s">
        <v>117</v>
      </c>
      <c r="I29" s="7">
        <v>800</v>
      </c>
      <c r="J29" s="7">
        <v>800</v>
      </c>
      <c r="K29" s="7">
        <v>1</v>
      </c>
      <c r="L29" s="7" t="s">
        <v>4</v>
      </c>
      <c r="M29" s="2">
        <f t="shared" si="0"/>
        <v>800</v>
      </c>
      <c r="N29" s="7">
        <v>0</v>
      </c>
      <c r="O29" s="5">
        <f t="shared" si="1"/>
        <v>800</v>
      </c>
      <c r="P29" s="4">
        <f t="shared" si="2"/>
        <v>144</v>
      </c>
      <c r="Q29" s="2">
        <f t="shared" si="3"/>
        <v>944</v>
      </c>
      <c r="R29" s="7">
        <v>-7876.45</v>
      </c>
      <c r="S29" s="49">
        <f t="shared" si="4"/>
        <v>-6932.45</v>
      </c>
      <c r="T29" s="49">
        <v>-6932.45</v>
      </c>
      <c r="U29" s="4">
        <f t="shared" si="5"/>
        <v>0</v>
      </c>
      <c r="V29" s="49">
        <v>-6932.45</v>
      </c>
      <c r="W29" s="49">
        <f t="shared" si="6"/>
        <v>0</v>
      </c>
      <c r="X29" s="46"/>
    </row>
    <row r="30" spans="1:24" x14ac:dyDescent="0.25">
      <c r="A30" s="7">
        <v>29</v>
      </c>
      <c r="B30" s="48" t="s">
        <v>402</v>
      </c>
      <c r="C30" s="38" t="s">
        <v>403</v>
      </c>
      <c r="D30" s="38" t="s">
        <v>404</v>
      </c>
      <c r="E30" s="38" t="s">
        <v>405</v>
      </c>
      <c r="F30" s="38" t="s">
        <v>248</v>
      </c>
      <c r="G30" s="38" t="s">
        <v>3</v>
      </c>
      <c r="H30" s="7" t="s">
        <v>117</v>
      </c>
      <c r="I30" s="7">
        <v>1000</v>
      </c>
      <c r="J30" s="7">
        <v>1000</v>
      </c>
      <c r="K30" s="7">
        <v>1</v>
      </c>
      <c r="L30" s="7" t="s">
        <v>4</v>
      </c>
      <c r="M30" s="2">
        <f t="shared" si="0"/>
        <v>1000</v>
      </c>
      <c r="N30" s="7">
        <v>0</v>
      </c>
      <c r="O30" s="5">
        <f t="shared" si="1"/>
        <v>1000</v>
      </c>
      <c r="P30" s="4">
        <f t="shared" si="2"/>
        <v>180</v>
      </c>
      <c r="Q30" s="2">
        <f t="shared" si="3"/>
        <v>1180</v>
      </c>
      <c r="R30" s="7">
        <v>-1849.5</v>
      </c>
      <c r="S30" s="49">
        <f t="shared" si="4"/>
        <v>-669.5</v>
      </c>
      <c r="T30" s="49">
        <v>-669.5</v>
      </c>
      <c r="U30" s="4">
        <f t="shared" si="5"/>
        <v>0</v>
      </c>
      <c r="V30" s="49">
        <v>-669.5</v>
      </c>
      <c r="W30" s="49">
        <f t="shared" si="6"/>
        <v>0</v>
      </c>
      <c r="X30" s="46"/>
    </row>
    <row r="31" spans="1:24" x14ac:dyDescent="0.25">
      <c r="A31" s="7">
        <v>30</v>
      </c>
      <c r="B31" s="48" t="s">
        <v>62</v>
      </c>
      <c r="C31" s="38" t="s">
        <v>63</v>
      </c>
      <c r="D31" s="38" t="s">
        <v>63</v>
      </c>
      <c r="E31" s="38" t="s">
        <v>229</v>
      </c>
      <c r="F31" s="38" t="s">
        <v>246</v>
      </c>
      <c r="G31" s="38" t="s">
        <v>3</v>
      </c>
      <c r="H31" s="7" t="s">
        <v>117</v>
      </c>
      <c r="I31" s="7">
        <v>1000</v>
      </c>
      <c r="J31" s="7">
        <v>1000</v>
      </c>
      <c r="K31" s="7">
        <v>2</v>
      </c>
      <c r="L31" s="7" t="s">
        <v>4</v>
      </c>
      <c r="M31" s="2">
        <f t="shared" si="0"/>
        <v>2000</v>
      </c>
      <c r="N31" s="7">
        <v>0</v>
      </c>
      <c r="O31" s="5">
        <f t="shared" si="1"/>
        <v>2000</v>
      </c>
      <c r="P31" s="4">
        <f t="shared" si="2"/>
        <v>360</v>
      </c>
      <c r="Q31" s="2">
        <f t="shared" si="3"/>
        <v>2360</v>
      </c>
      <c r="R31" s="7">
        <v>0</v>
      </c>
      <c r="S31" s="49">
        <f t="shared" si="4"/>
        <v>2360</v>
      </c>
      <c r="T31" s="49">
        <v>2360</v>
      </c>
      <c r="U31" s="4">
        <f t="shared" si="5"/>
        <v>0</v>
      </c>
      <c r="V31" s="49">
        <v>2360</v>
      </c>
      <c r="W31" s="49">
        <f t="shared" si="6"/>
        <v>0</v>
      </c>
      <c r="X31" s="46"/>
    </row>
    <row r="32" spans="1:24" x14ac:dyDescent="0.25">
      <c r="A32" s="7">
        <v>31</v>
      </c>
      <c r="B32" s="48" t="s">
        <v>89</v>
      </c>
      <c r="C32" s="38" t="s">
        <v>254</v>
      </c>
      <c r="D32" s="38" t="s">
        <v>155</v>
      </c>
      <c r="E32" s="38" t="s">
        <v>88</v>
      </c>
      <c r="F32" s="38" t="s">
        <v>246</v>
      </c>
      <c r="G32" s="38" t="s">
        <v>3</v>
      </c>
      <c r="H32" s="7" t="s">
        <v>117</v>
      </c>
      <c r="I32" s="7">
        <v>1000</v>
      </c>
      <c r="J32" s="7">
        <v>1000</v>
      </c>
      <c r="K32" s="7">
        <v>1.5</v>
      </c>
      <c r="L32" s="7" t="s">
        <v>4</v>
      </c>
      <c r="M32" s="2">
        <f t="shared" si="0"/>
        <v>1500</v>
      </c>
      <c r="N32" s="7">
        <v>0</v>
      </c>
      <c r="O32" s="5">
        <f t="shared" si="1"/>
        <v>1500</v>
      </c>
      <c r="P32" s="4">
        <f t="shared" si="2"/>
        <v>270</v>
      </c>
      <c r="Q32" s="2">
        <f t="shared" si="3"/>
        <v>1770</v>
      </c>
      <c r="R32" s="7">
        <v>0.32</v>
      </c>
      <c r="S32" s="49">
        <f t="shared" si="4"/>
        <v>1770.32</v>
      </c>
      <c r="T32" s="49">
        <v>1770.32</v>
      </c>
      <c r="U32" s="4">
        <f t="shared" si="5"/>
        <v>0</v>
      </c>
      <c r="V32" s="49">
        <v>1770.32</v>
      </c>
      <c r="W32" s="49">
        <f t="shared" si="6"/>
        <v>0</v>
      </c>
      <c r="X32" s="46"/>
    </row>
    <row r="33" spans="1:24" x14ac:dyDescent="0.25">
      <c r="A33" s="7">
        <v>32</v>
      </c>
      <c r="B33" s="48" t="s">
        <v>93</v>
      </c>
      <c r="C33" s="38" t="s">
        <v>94</v>
      </c>
      <c r="D33" s="38" t="s">
        <v>94</v>
      </c>
      <c r="E33" s="38" t="s">
        <v>92</v>
      </c>
      <c r="F33" s="38" t="s">
        <v>246</v>
      </c>
      <c r="G33" s="38" t="s">
        <v>3</v>
      </c>
      <c r="H33" s="7" t="s">
        <v>117</v>
      </c>
      <c r="I33" s="7">
        <v>1000</v>
      </c>
      <c r="J33" s="7">
        <v>1604</v>
      </c>
      <c r="K33" s="7">
        <v>2</v>
      </c>
      <c r="L33" s="7" t="s">
        <v>4</v>
      </c>
      <c r="M33" s="2">
        <f t="shared" si="0"/>
        <v>3208</v>
      </c>
      <c r="N33" s="7">
        <v>0</v>
      </c>
      <c r="O33" s="5">
        <f t="shared" si="1"/>
        <v>3208</v>
      </c>
      <c r="P33" s="4">
        <f t="shared" si="2"/>
        <v>577.43999999999994</v>
      </c>
      <c r="Q33" s="2">
        <f t="shared" si="3"/>
        <v>3785.44</v>
      </c>
      <c r="R33" s="7">
        <v>0.01</v>
      </c>
      <c r="S33" s="49">
        <f t="shared" si="4"/>
        <v>3785.4500000000003</v>
      </c>
      <c r="T33" s="49">
        <v>3785.45</v>
      </c>
      <c r="U33" s="4">
        <f t="shared" si="5"/>
        <v>0</v>
      </c>
      <c r="V33" s="49">
        <v>3785.45</v>
      </c>
      <c r="W33" s="49">
        <f t="shared" si="6"/>
        <v>0</v>
      </c>
      <c r="X33" s="46"/>
    </row>
    <row r="34" spans="1:24" x14ac:dyDescent="0.25">
      <c r="A34" s="7">
        <v>33</v>
      </c>
      <c r="B34" s="48" t="s">
        <v>83</v>
      </c>
      <c r="C34" s="38" t="s">
        <v>206</v>
      </c>
      <c r="D34" s="38" t="s">
        <v>207</v>
      </c>
      <c r="E34" s="38" t="s">
        <v>208</v>
      </c>
      <c r="F34" s="38" t="s">
        <v>245</v>
      </c>
      <c r="G34" s="38" t="s">
        <v>3</v>
      </c>
      <c r="H34" s="7" t="s">
        <v>307</v>
      </c>
      <c r="I34" s="7">
        <v>1000</v>
      </c>
      <c r="J34" s="7">
        <v>1315</v>
      </c>
      <c r="K34" s="7">
        <v>2</v>
      </c>
      <c r="L34" s="7" t="s">
        <v>4</v>
      </c>
      <c r="M34" s="2">
        <f t="shared" si="0"/>
        <v>2630</v>
      </c>
      <c r="N34" s="7">
        <v>0</v>
      </c>
      <c r="O34" s="5">
        <f t="shared" si="1"/>
        <v>2630</v>
      </c>
      <c r="P34" s="4">
        <f t="shared" si="2"/>
        <v>473.4</v>
      </c>
      <c r="Q34" s="2">
        <f t="shared" si="3"/>
        <v>3103.4</v>
      </c>
      <c r="R34" s="7">
        <v>0</v>
      </c>
      <c r="S34" s="49">
        <f t="shared" si="4"/>
        <v>3103.4</v>
      </c>
      <c r="T34" s="49">
        <v>3103.4</v>
      </c>
      <c r="U34" s="4">
        <f t="shared" si="5"/>
        <v>0</v>
      </c>
      <c r="V34" s="49">
        <v>3103.4</v>
      </c>
      <c r="W34" s="49">
        <f t="shared" si="6"/>
        <v>0</v>
      </c>
      <c r="X34" s="46"/>
    </row>
    <row r="35" spans="1:24" x14ac:dyDescent="0.25">
      <c r="A35" s="7">
        <v>34</v>
      </c>
      <c r="B35" s="48" t="s">
        <v>109</v>
      </c>
      <c r="C35" s="38" t="s">
        <v>110</v>
      </c>
      <c r="D35" s="38" t="s">
        <v>110</v>
      </c>
      <c r="E35" s="38" t="s">
        <v>108</v>
      </c>
      <c r="F35" s="38" t="s">
        <v>241</v>
      </c>
      <c r="G35" s="38" t="s">
        <v>3</v>
      </c>
      <c r="H35" s="7" t="s">
        <v>117</v>
      </c>
      <c r="I35" s="7">
        <v>1000</v>
      </c>
      <c r="J35" s="7">
        <v>1000</v>
      </c>
      <c r="K35" s="7">
        <v>2</v>
      </c>
      <c r="L35" s="7" t="s">
        <v>4</v>
      </c>
      <c r="M35" s="2">
        <f t="shared" si="0"/>
        <v>2000</v>
      </c>
      <c r="N35" s="7">
        <v>0</v>
      </c>
      <c r="O35" s="5">
        <f t="shared" si="1"/>
        <v>2000</v>
      </c>
      <c r="P35" s="4">
        <f t="shared" si="2"/>
        <v>360</v>
      </c>
      <c r="Q35" s="2">
        <f t="shared" si="3"/>
        <v>2360</v>
      </c>
      <c r="R35" s="7">
        <v>0</v>
      </c>
      <c r="S35" s="49">
        <f t="shared" si="4"/>
        <v>2360</v>
      </c>
      <c r="T35" s="49">
        <v>2360</v>
      </c>
      <c r="U35" s="4">
        <f t="shared" si="5"/>
        <v>0</v>
      </c>
      <c r="V35" s="49">
        <v>2360</v>
      </c>
      <c r="W35" s="49">
        <f t="shared" si="6"/>
        <v>0</v>
      </c>
      <c r="X35" s="46"/>
    </row>
    <row r="36" spans="1:24" x14ac:dyDescent="0.25">
      <c r="A36" s="7">
        <v>35</v>
      </c>
      <c r="B36" s="48" t="s">
        <v>169</v>
      </c>
      <c r="C36" s="38" t="s">
        <v>265</v>
      </c>
      <c r="D36" s="38" t="s">
        <v>170</v>
      </c>
      <c r="E36" s="38" t="s">
        <v>78</v>
      </c>
      <c r="F36" s="38" t="s">
        <v>236</v>
      </c>
      <c r="G36" s="38" t="s">
        <v>3</v>
      </c>
      <c r="H36" s="7" t="s">
        <v>117</v>
      </c>
      <c r="I36" s="7">
        <v>1000</v>
      </c>
      <c r="J36" s="7">
        <v>1000</v>
      </c>
      <c r="K36" s="7">
        <v>1</v>
      </c>
      <c r="L36" s="7" t="s">
        <v>4</v>
      </c>
      <c r="M36" s="2">
        <f t="shared" si="0"/>
        <v>1000</v>
      </c>
      <c r="N36" s="7">
        <v>0</v>
      </c>
      <c r="O36" s="5">
        <f t="shared" si="1"/>
        <v>1000</v>
      </c>
      <c r="P36" s="4">
        <f t="shared" si="2"/>
        <v>180</v>
      </c>
      <c r="Q36" s="2">
        <f t="shared" si="3"/>
        <v>1180</v>
      </c>
      <c r="R36" s="7">
        <v>-0.23</v>
      </c>
      <c r="S36" s="49">
        <f t="shared" si="4"/>
        <v>1179.77</v>
      </c>
      <c r="T36" s="49">
        <v>1179.77</v>
      </c>
      <c r="U36" s="4">
        <f t="shared" si="5"/>
        <v>0</v>
      </c>
      <c r="V36" s="49">
        <v>1179.77</v>
      </c>
      <c r="W36" s="49">
        <f t="shared" si="6"/>
        <v>0</v>
      </c>
      <c r="X36" s="46"/>
    </row>
    <row r="37" spans="1:24" x14ac:dyDescent="0.25">
      <c r="A37" s="7">
        <v>36</v>
      </c>
      <c r="B37" s="48" t="s">
        <v>140</v>
      </c>
      <c r="C37" s="38" t="s">
        <v>141</v>
      </c>
      <c r="D37" s="38" t="s">
        <v>141</v>
      </c>
      <c r="E37" s="38" t="s">
        <v>308</v>
      </c>
      <c r="F37" s="38" t="s">
        <v>240</v>
      </c>
      <c r="G37" s="38" t="s">
        <v>3</v>
      </c>
      <c r="H37" s="7" t="s">
        <v>117</v>
      </c>
      <c r="I37" s="7">
        <v>1000</v>
      </c>
      <c r="J37" s="7">
        <v>1000</v>
      </c>
      <c r="K37" s="7">
        <v>2</v>
      </c>
      <c r="L37" s="7" t="s">
        <v>4</v>
      </c>
      <c r="M37" s="2">
        <f t="shared" si="0"/>
        <v>2000</v>
      </c>
      <c r="N37" s="7">
        <v>0</v>
      </c>
      <c r="O37" s="5">
        <f t="shared" si="1"/>
        <v>2000</v>
      </c>
      <c r="P37" s="4">
        <f t="shared" si="2"/>
        <v>360</v>
      </c>
      <c r="Q37" s="2">
        <f t="shared" si="3"/>
        <v>2360</v>
      </c>
      <c r="R37" s="7">
        <v>-0.3</v>
      </c>
      <c r="S37" s="49">
        <f t="shared" si="4"/>
        <v>2359.6999999999998</v>
      </c>
      <c r="T37" s="49">
        <v>2359.6999999999998</v>
      </c>
      <c r="U37" s="4">
        <f t="shared" si="5"/>
        <v>0</v>
      </c>
      <c r="V37" s="49">
        <v>2359.6999999999998</v>
      </c>
      <c r="W37" s="49">
        <f t="shared" si="6"/>
        <v>0</v>
      </c>
      <c r="X37" s="46"/>
    </row>
    <row r="38" spans="1:24" x14ac:dyDescent="0.25">
      <c r="A38" s="7">
        <v>37</v>
      </c>
      <c r="B38" s="48" t="s">
        <v>36</v>
      </c>
      <c r="C38" s="38" t="s">
        <v>37</v>
      </c>
      <c r="D38" s="38" t="s">
        <v>37</v>
      </c>
      <c r="E38" s="38" t="s">
        <v>35</v>
      </c>
      <c r="F38" s="38" t="s">
        <v>243</v>
      </c>
      <c r="G38" s="38" t="s">
        <v>3</v>
      </c>
      <c r="H38" s="7" t="s">
        <v>117</v>
      </c>
      <c r="I38" s="7">
        <v>1000</v>
      </c>
      <c r="J38" s="7">
        <v>1000</v>
      </c>
      <c r="K38" s="7">
        <v>2</v>
      </c>
      <c r="L38" s="7" t="s">
        <v>4</v>
      </c>
      <c r="M38" s="2">
        <f t="shared" si="0"/>
        <v>2000</v>
      </c>
      <c r="N38" s="7">
        <v>0</v>
      </c>
      <c r="O38" s="5">
        <f t="shared" si="1"/>
        <v>2000</v>
      </c>
      <c r="P38" s="4">
        <f t="shared" si="2"/>
        <v>360</v>
      </c>
      <c r="Q38" s="2">
        <f t="shared" si="3"/>
        <v>2360</v>
      </c>
      <c r="R38" s="7">
        <v>-0.38</v>
      </c>
      <c r="S38" s="49">
        <f t="shared" si="4"/>
        <v>2359.62</v>
      </c>
      <c r="T38" s="49">
        <v>2359.62</v>
      </c>
      <c r="U38" s="4">
        <f t="shared" si="5"/>
        <v>0</v>
      </c>
      <c r="V38" s="49">
        <v>2359.62</v>
      </c>
      <c r="W38" s="49">
        <f t="shared" si="6"/>
        <v>0</v>
      </c>
      <c r="X38" s="46"/>
    </row>
    <row r="39" spans="1:24" x14ac:dyDescent="0.25">
      <c r="A39" s="7">
        <v>38</v>
      </c>
      <c r="B39" s="48" t="s">
        <v>33</v>
      </c>
      <c r="C39" s="38" t="s">
        <v>34</v>
      </c>
      <c r="D39" s="38" t="s">
        <v>186</v>
      </c>
      <c r="E39" s="38" t="s">
        <v>32</v>
      </c>
      <c r="F39" s="38" t="s">
        <v>236</v>
      </c>
      <c r="G39" s="38" t="s">
        <v>3</v>
      </c>
      <c r="H39" s="7" t="s">
        <v>117</v>
      </c>
      <c r="I39" s="7">
        <v>1000</v>
      </c>
      <c r="J39" s="7">
        <v>1000</v>
      </c>
      <c r="K39" s="7">
        <v>1</v>
      </c>
      <c r="L39" s="7" t="s">
        <v>4</v>
      </c>
      <c r="M39" s="2">
        <f t="shared" si="0"/>
        <v>1000</v>
      </c>
      <c r="N39" s="7">
        <v>0</v>
      </c>
      <c r="O39" s="5">
        <f t="shared" si="1"/>
        <v>1000</v>
      </c>
      <c r="P39" s="4">
        <f t="shared" si="2"/>
        <v>180</v>
      </c>
      <c r="Q39" s="2">
        <f t="shared" si="3"/>
        <v>1180</v>
      </c>
      <c r="R39" s="7">
        <v>0</v>
      </c>
      <c r="S39" s="49">
        <f t="shared" si="4"/>
        <v>1180</v>
      </c>
      <c r="T39" s="49">
        <v>1180</v>
      </c>
      <c r="U39" s="4">
        <f t="shared" si="5"/>
        <v>0</v>
      </c>
      <c r="V39" s="49">
        <v>1180</v>
      </c>
      <c r="W39" s="49">
        <f t="shared" si="6"/>
        <v>0</v>
      </c>
      <c r="X39" s="46"/>
    </row>
    <row r="40" spans="1:24" x14ac:dyDescent="0.25">
      <c r="A40" s="7">
        <v>39</v>
      </c>
      <c r="B40" s="48" t="s">
        <v>11</v>
      </c>
      <c r="C40" s="38" t="s">
        <v>12</v>
      </c>
      <c r="D40" s="38" t="s">
        <v>12</v>
      </c>
      <c r="E40" s="38" t="s">
        <v>10</v>
      </c>
      <c r="F40" s="38" t="s">
        <v>241</v>
      </c>
      <c r="G40" s="38" t="s">
        <v>3</v>
      </c>
      <c r="H40" s="7" t="s">
        <v>117</v>
      </c>
      <c r="I40" s="7">
        <v>1000</v>
      </c>
      <c r="J40" s="7">
        <v>1000</v>
      </c>
      <c r="K40" s="7">
        <v>1</v>
      </c>
      <c r="L40" s="7" t="s">
        <v>4</v>
      </c>
      <c r="M40" s="2">
        <f t="shared" si="0"/>
        <v>1000</v>
      </c>
      <c r="N40" s="7">
        <v>0</v>
      </c>
      <c r="O40" s="5">
        <f t="shared" si="1"/>
        <v>1000</v>
      </c>
      <c r="P40" s="4">
        <f t="shared" si="2"/>
        <v>180</v>
      </c>
      <c r="Q40" s="2">
        <f t="shared" si="3"/>
        <v>1180</v>
      </c>
      <c r="R40" s="7">
        <v>99.86</v>
      </c>
      <c r="S40" s="49">
        <f t="shared" si="4"/>
        <v>1279.8599999999999</v>
      </c>
      <c r="T40" s="49">
        <v>1279.8599999999999</v>
      </c>
      <c r="U40" s="4">
        <f t="shared" si="5"/>
        <v>0</v>
      </c>
      <c r="V40" s="49">
        <v>1279.8599999999999</v>
      </c>
      <c r="W40" s="49">
        <f t="shared" si="6"/>
        <v>0</v>
      </c>
      <c r="X40" s="46"/>
    </row>
    <row r="41" spans="1:24" x14ac:dyDescent="0.25">
      <c r="A41" s="7">
        <v>40</v>
      </c>
      <c r="B41" s="48" t="s">
        <v>120</v>
      </c>
      <c r="C41" s="38" t="s">
        <v>121</v>
      </c>
      <c r="D41" s="38" t="s">
        <v>121</v>
      </c>
      <c r="E41" s="38" t="s">
        <v>119</v>
      </c>
      <c r="F41" s="38" t="s">
        <v>236</v>
      </c>
      <c r="G41" s="38" t="s">
        <v>3</v>
      </c>
      <c r="H41" s="7" t="s">
        <v>117</v>
      </c>
      <c r="I41" s="7">
        <v>1000</v>
      </c>
      <c r="J41" s="7">
        <v>1000</v>
      </c>
      <c r="K41" s="7">
        <v>2</v>
      </c>
      <c r="L41" s="7" t="s">
        <v>4</v>
      </c>
      <c r="M41" s="2">
        <f t="shared" si="0"/>
        <v>2000</v>
      </c>
      <c r="N41" s="7">
        <v>0</v>
      </c>
      <c r="O41" s="5">
        <f t="shared" si="1"/>
        <v>2000</v>
      </c>
      <c r="P41" s="4">
        <f t="shared" si="2"/>
        <v>360</v>
      </c>
      <c r="Q41" s="2">
        <f t="shared" si="3"/>
        <v>2360</v>
      </c>
      <c r="R41" s="7">
        <v>0</v>
      </c>
      <c r="S41" s="49">
        <f t="shared" si="4"/>
        <v>2360</v>
      </c>
      <c r="T41" s="49">
        <v>2360</v>
      </c>
      <c r="U41" s="4">
        <f t="shared" si="5"/>
        <v>0</v>
      </c>
      <c r="V41" s="49">
        <v>2360</v>
      </c>
      <c r="W41" s="49">
        <f t="shared" si="6"/>
        <v>0</v>
      </c>
      <c r="X41" s="46"/>
    </row>
    <row r="42" spans="1:24" x14ac:dyDescent="0.25">
      <c r="A42" s="7">
        <v>41</v>
      </c>
      <c r="B42" s="48" t="s">
        <v>343</v>
      </c>
      <c r="C42" s="38" t="s">
        <v>344</v>
      </c>
      <c r="D42" s="38" t="s">
        <v>345</v>
      </c>
      <c r="E42" s="38" t="s">
        <v>346</v>
      </c>
      <c r="F42" s="38" t="s">
        <v>241</v>
      </c>
      <c r="G42" s="38" t="s">
        <v>3</v>
      </c>
      <c r="H42" s="7" t="s">
        <v>117</v>
      </c>
      <c r="I42" s="7">
        <v>1000</v>
      </c>
      <c r="J42" s="7">
        <v>1000</v>
      </c>
      <c r="K42" s="7">
        <v>2</v>
      </c>
      <c r="L42" s="7" t="s">
        <v>4</v>
      </c>
      <c r="M42" s="2">
        <f t="shared" si="0"/>
        <v>2000</v>
      </c>
      <c r="N42" s="7">
        <v>0</v>
      </c>
      <c r="O42" s="5">
        <f t="shared" si="1"/>
        <v>2000</v>
      </c>
      <c r="P42" s="4">
        <f t="shared" si="2"/>
        <v>360</v>
      </c>
      <c r="Q42" s="2">
        <f t="shared" si="3"/>
        <v>2360</v>
      </c>
      <c r="R42" s="7">
        <v>-0.26</v>
      </c>
      <c r="S42" s="49">
        <f t="shared" si="4"/>
        <v>2359.7399999999998</v>
      </c>
      <c r="T42" s="49">
        <v>2359.7399999999998</v>
      </c>
      <c r="U42" s="4">
        <f t="shared" si="5"/>
        <v>0</v>
      </c>
      <c r="V42" s="49">
        <v>2359.7399999999998</v>
      </c>
      <c r="W42" s="49">
        <f t="shared" si="6"/>
        <v>0</v>
      </c>
      <c r="X42" s="46"/>
    </row>
    <row r="43" spans="1:24" x14ac:dyDescent="0.25">
      <c r="A43" s="7">
        <v>42</v>
      </c>
      <c r="B43" s="48" t="s">
        <v>149</v>
      </c>
      <c r="C43" s="38" t="s">
        <v>97</v>
      </c>
      <c r="D43" s="38" t="s">
        <v>97</v>
      </c>
      <c r="E43" s="38" t="s">
        <v>217</v>
      </c>
      <c r="F43" s="38" t="s">
        <v>248</v>
      </c>
      <c r="G43" s="38" t="s">
        <v>3</v>
      </c>
      <c r="H43" s="7" t="s">
        <v>117</v>
      </c>
      <c r="I43" s="7">
        <v>1000</v>
      </c>
      <c r="J43" s="7">
        <v>1988</v>
      </c>
      <c r="K43" s="7">
        <v>2</v>
      </c>
      <c r="L43" s="7" t="s">
        <v>4</v>
      </c>
      <c r="M43" s="2">
        <f t="shared" si="0"/>
        <v>3976</v>
      </c>
      <c r="N43" s="7">
        <v>0</v>
      </c>
      <c r="O43" s="5">
        <f t="shared" si="1"/>
        <v>3976</v>
      </c>
      <c r="P43" s="4">
        <f t="shared" si="2"/>
        <v>715.68</v>
      </c>
      <c r="Q43" s="2">
        <f t="shared" si="3"/>
        <v>4691.68</v>
      </c>
      <c r="R43" s="7">
        <v>0.16</v>
      </c>
      <c r="S43" s="49">
        <f t="shared" si="4"/>
        <v>4691.84</v>
      </c>
      <c r="T43" s="49">
        <v>4691.84</v>
      </c>
      <c r="U43" s="4">
        <f t="shared" si="5"/>
        <v>0</v>
      </c>
      <c r="V43" s="49">
        <v>4691.84</v>
      </c>
      <c r="W43" s="49">
        <f t="shared" si="6"/>
        <v>0</v>
      </c>
      <c r="X43" s="46"/>
    </row>
    <row r="44" spans="1:24" x14ac:dyDescent="0.25">
      <c r="A44" s="7">
        <v>43</v>
      </c>
      <c r="B44" s="48" t="s">
        <v>69</v>
      </c>
      <c r="C44" s="38" t="s">
        <v>70</v>
      </c>
      <c r="D44" s="38" t="s">
        <v>70</v>
      </c>
      <c r="E44" s="38" t="s">
        <v>68</v>
      </c>
      <c r="F44" s="38" t="s">
        <v>249</v>
      </c>
      <c r="G44" s="38" t="s">
        <v>3</v>
      </c>
      <c r="H44" s="7" t="s">
        <v>117</v>
      </c>
      <c r="I44" s="7">
        <v>1000</v>
      </c>
      <c r="J44" s="7">
        <v>3444</v>
      </c>
      <c r="K44" s="7">
        <v>2</v>
      </c>
      <c r="L44" s="7" t="s">
        <v>4</v>
      </c>
      <c r="M44" s="2">
        <f t="shared" si="0"/>
        <v>6888</v>
      </c>
      <c r="N44" s="7">
        <v>0</v>
      </c>
      <c r="O44" s="5">
        <f t="shared" si="1"/>
        <v>6888</v>
      </c>
      <c r="P44" s="4">
        <f t="shared" si="2"/>
        <v>1239.8399999999999</v>
      </c>
      <c r="Q44" s="2">
        <f t="shared" si="3"/>
        <v>8127.84</v>
      </c>
      <c r="R44" s="7">
        <v>-0.34</v>
      </c>
      <c r="S44" s="49">
        <f t="shared" si="4"/>
        <v>8127.5</v>
      </c>
      <c r="T44" s="49">
        <v>8127.5</v>
      </c>
      <c r="U44" s="4">
        <f t="shared" si="5"/>
        <v>0</v>
      </c>
      <c r="V44" s="49">
        <v>8127.5</v>
      </c>
      <c r="W44" s="49">
        <f t="shared" si="6"/>
        <v>0</v>
      </c>
      <c r="X44" s="46"/>
    </row>
    <row r="45" spans="1:24" x14ac:dyDescent="0.25">
      <c r="A45" s="7">
        <v>44</v>
      </c>
      <c r="B45" s="48" t="s">
        <v>29</v>
      </c>
      <c r="C45" s="38" t="s">
        <v>137</v>
      </c>
      <c r="D45" s="38" t="s">
        <v>30</v>
      </c>
      <c r="E45" s="38" t="s">
        <v>28</v>
      </c>
      <c r="F45" s="38" t="s">
        <v>246</v>
      </c>
      <c r="G45" s="38" t="s">
        <v>3</v>
      </c>
      <c r="H45" s="7" t="s">
        <v>117</v>
      </c>
      <c r="I45" s="7">
        <v>1000</v>
      </c>
      <c r="J45" s="7">
        <v>1000</v>
      </c>
      <c r="K45" s="7">
        <v>1.5</v>
      </c>
      <c r="L45" s="7" t="s">
        <v>4</v>
      </c>
      <c r="M45" s="2">
        <f t="shared" si="0"/>
        <v>1500</v>
      </c>
      <c r="N45" s="7">
        <v>0</v>
      </c>
      <c r="O45" s="5">
        <f t="shared" si="1"/>
        <v>1500</v>
      </c>
      <c r="P45" s="4">
        <f t="shared" si="2"/>
        <v>270</v>
      </c>
      <c r="Q45" s="2">
        <f t="shared" si="3"/>
        <v>1770</v>
      </c>
      <c r="R45" s="7">
        <v>-0.1</v>
      </c>
      <c r="S45" s="49">
        <f t="shared" si="4"/>
        <v>1769.9</v>
      </c>
      <c r="T45" s="49">
        <v>1769.9</v>
      </c>
      <c r="U45" s="4">
        <f t="shared" si="5"/>
        <v>0</v>
      </c>
      <c r="V45" s="49">
        <v>1769.9</v>
      </c>
      <c r="W45" s="49">
        <f t="shared" si="6"/>
        <v>0</v>
      </c>
      <c r="X45" s="46"/>
    </row>
    <row r="46" spans="1:24" x14ac:dyDescent="0.25">
      <c r="A46" s="7">
        <v>45</v>
      </c>
      <c r="B46" s="48" t="s">
        <v>150</v>
      </c>
      <c r="C46" s="38" t="s">
        <v>440</v>
      </c>
      <c r="D46" s="38" t="s">
        <v>151</v>
      </c>
      <c r="E46" s="38" t="s">
        <v>224</v>
      </c>
      <c r="F46" s="38" t="s">
        <v>236</v>
      </c>
      <c r="G46" s="38" t="s">
        <v>3</v>
      </c>
      <c r="H46" s="7" t="s">
        <v>117</v>
      </c>
      <c r="I46" s="7">
        <v>1000</v>
      </c>
      <c r="J46" s="7">
        <v>1000</v>
      </c>
      <c r="K46" s="7">
        <v>2</v>
      </c>
      <c r="L46" s="7" t="s">
        <v>4</v>
      </c>
      <c r="M46" s="2">
        <f t="shared" si="0"/>
        <v>2000</v>
      </c>
      <c r="N46" s="7">
        <v>0</v>
      </c>
      <c r="O46" s="5">
        <f t="shared" si="1"/>
        <v>2000</v>
      </c>
      <c r="P46" s="4">
        <f t="shared" si="2"/>
        <v>360</v>
      </c>
      <c r="Q46" s="2">
        <f t="shared" si="3"/>
        <v>2360</v>
      </c>
      <c r="R46" s="7">
        <v>-0.34</v>
      </c>
      <c r="S46" s="49">
        <f t="shared" si="4"/>
        <v>2359.66</v>
      </c>
      <c r="T46" s="49">
        <v>2359.66</v>
      </c>
      <c r="U46" s="4">
        <f t="shared" si="5"/>
        <v>0</v>
      </c>
      <c r="V46" s="49">
        <v>2359.66</v>
      </c>
      <c r="W46" s="49">
        <f t="shared" si="6"/>
        <v>0</v>
      </c>
      <c r="X46" s="46"/>
    </row>
    <row r="47" spans="1:24" x14ac:dyDescent="0.25">
      <c r="A47" s="7">
        <v>46</v>
      </c>
      <c r="B47" s="48" t="s">
        <v>162</v>
      </c>
      <c r="C47" s="38" t="s">
        <v>79</v>
      </c>
      <c r="D47" s="38" t="s">
        <v>79</v>
      </c>
      <c r="E47" s="38" t="s">
        <v>218</v>
      </c>
      <c r="F47" s="38" t="s">
        <v>236</v>
      </c>
      <c r="G47" s="38" t="s">
        <v>3</v>
      </c>
      <c r="H47" s="7" t="s">
        <v>117</v>
      </c>
      <c r="I47" s="7">
        <v>1000</v>
      </c>
      <c r="J47" s="7">
        <v>1000</v>
      </c>
      <c r="K47" s="7">
        <v>2</v>
      </c>
      <c r="L47" s="7" t="s">
        <v>4</v>
      </c>
      <c r="M47" s="2">
        <f t="shared" si="0"/>
        <v>2000</v>
      </c>
      <c r="N47" s="7">
        <v>0</v>
      </c>
      <c r="O47" s="5">
        <f t="shared" si="1"/>
        <v>2000</v>
      </c>
      <c r="P47" s="4">
        <f t="shared" si="2"/>
        <v>360</v>
      </c>
      <c r="Q47" s="2">
        <f t="shared" si="3"/>
        <v>2360</v>
      </c>
      <c r="R47" s="7">
        <v>0.4</v>
      </c>
      <c r="S47" s="49">
        <f t="shared" si="4"/>
        <v>2360.4</v>
      </c>
      <c r="T47" s="49">
        <v>2360.4</v>
      </c>
      <c r="U47" s="4">
        <f t="shared" si="5"/>
        <v>0</v>
      </c>
      <c r="V47" s="49">
        <v>2360.4</v>
      </c>
      <c r="W47" s="49">
        <f t="shared" si="6"/>
        <v>0</v>
      </c>
      <c r="X47" s="46"/>
    </row>
    <row r="48" spans="1:24" x14ac:dyDescent="0.25">
      <c r="A48" s="7">
        <v>47</v>
      </c>
      <c r="B48" s="48" t="s">
        <v>443</v>
      </c>
      <c r="C48" s="38" t="s">
        <v>444</v>
      </c>
      <c r="D48" s="38" t="s">
        <v>444</v>
      </c>
      <c r="E48" s="38" t="s">
        <v>445</v>
      </c>
      <c r="F48" s="38" t="s">
        <v>240</v>
      </c>
      <c r="G48" s="38" t="s">
        <v>3</v>
      </c>
      <c r="H48" s="7" t="s">
        <v>117</v>
      </c>
      <c r="I48" s="7">
        <v>1000</v>
      </c>
      <c r="J48" s="7">
        <v>2745</v>
      </c>
      <c r="K48" s="7">
        <v>2</v>
      </c>
      <c r="L48" s="7" t="s">
        <v>4</v>
      </c>
      <c r="M48" s="2">
        <f t="shared" si="0"/>
        <v>5490</v>
      </c>
      <c r="N48" s="7">
        <v>0</v>
      </c>
      <c r="O48" s="5">
        <f t="shared" si="1"/>
        <v>5490</v>
      </c>
      <c r="P48" s="4">
        <f t="shared" si="2"/>
        <v>988.19999999999993</v>
      </c>
      <c r="Q48" s="2">
        <f t="shared" si="3"/>
        <v>6478.2</v>
      </c>
      <c r="R48" s="7">
        <v>0.18</v>
      </c>
      <c r="S48" s="49">
        <f t="shared" si="4"/>
        <v>6478.38</v>
      </c>
      <c r="T48" s="49">
        <v>6478.38</v>
      </c>
      <c r="U48" s="4">
        <f t="shared" si="5"/>
        <v>0</v>
      </c>
      <c r="V48" s="49">
        <v>6478.38</v>
      </c>
      <c r="W48" s="49">
        <f t="shared" si="6"/>
        <v>0</v>
      </c>
      <c r="X48" s="46"/>
    </row>
    <row r="49" spans="1:24" x14ac:dyDescent="0.25">
      <c r="A49" s="7">
        <v>48</v>
      </c>
      <c r="B49" s="48" t="s">
        <v>275</v>
      </c>
      <c r="C49" s="38" t="s">
        <v>276</v>
      </c>
      <c r="D49" s="38" t="s">
        <v>277</v>
      </c>
      <c r="E49" s="38" t="s">
        <v>278</v>
      </c>
      <c r="F49" s="38" t="s">
        <v>246</v>
      </c>
      <c r="G49" s="38" t="s">
        <v>3</v>
      </c>
      <c r="H49" s="7" t="s">
        <v>117</v>
      </c>
      <c r="I49" s="7">
        <v>1000</v>
      </c>
      <c r="J49" s="7">
        <v>1000</v>
      </c>
      <c r="K49" s="7">
        <v>2</v>
      </c>
      <c r="L49" s="7" t="s">
        <v>4</v>
      </c>
      <c r="M49" s="2">
        <f t="shared" si="0"/>
        <v>2000</v>
      </c>
      <c r="N49" s="7">
        <v>0</v>
      </c>
      <c r="O49" s="5">
        <f t="shared" si="1"/>
        <v>2000</v>
      </c>
      <c r="P49" s="4">
        <f t="shared" si="2"/>
        <v>360</v>
      </c>
      <c r="Q49" s="2">
        <f t="shared" si="3"/>
        <v>2360</v>
      </c>
      <c r="R49" s="7">
        <v>0</v>
      </c>
      <c r="S49" s="49">
        <f t="shared" si="4"/>
        <v>2360</v>
      </c>
      <c r="T49" s="49">
        <v>2360</v>
      </c>
      <c r="U49" s="4">
        <f t="shared" si="5"/>
        <v>0</v>
      </c>
      <c r="V49" s="49">
        <v>2360</v>
      </c>
      <c r="W49" s="49">
        <f t="shared" si="6"/>
        <v>0</v>
      </c>
      <c r="X49" s="46"/>
    </row>
    <row r="50" spans="1:24" x14ac:dyDescent="0.25">
      <c r="A50" s="7">
        <v>49</v>
      </c>
      <c r="B50" s="48" t="s">
        <v>291</v>
      </c>
      <c r="C50" s="38" t="s">
        <v>292</v>
      </c>
      <c r="D50" s="38" t="s">
        <v>292</v>
      </c>
      <c r="E50" s="38" t="s">
        <v>22</v>
      </c>
      <c r="F50" s="38" t="s">
        <v>241</v>
      </c>
      <c r="G50" s="38" t="s">
        <v>3</v>
      </c>
      <c r="H50" s="7" t="s">
        <v>117</v>
      </c>
      <c r="I50" s="7">
        <v>1000</v>
      </c>
      <c r="J50" s="7">
        <v>1945</v>
      </c>
      <c r="K50" s="7">
        <v>2</v>
      </c>
      <c r="L50" s="7" t="s">
        <v>4</v>
      </c>
      <c r="M50" s="2">
        <f t="shared" si="0"/>
        <v>3890</v>
      </c>
      <c r="N50" s="7">
        <v>0</v>
      </c>
      <c r="O50" s="5">
        <f t="shared" si="1"/>
        <v>3890</v>
      </c>
      <c r="P50" s="4">
        <f t="shared" si="2"/>
        <v>700.19999999999993</v>
      </c>
      <c r="Q50" s="2">
        <f t="shared" si="3"/>
        <v>4590.2</v>
      </c>
      <c r="R50" s="7">
        <v>-0.24</v>
      </c>
      <c r="S50" s="49">
        <f t="shared" si="4"/>
        <v>4589.96</v>
      </c>
      <c r="T50" s="49">
        <v>4589.96</v>
      </c>
      <c r="U50" s="4">
        <f t="shared" si="5"/>
        <v>0</v>
      </c>
      <c r="V50" s="49">
        <v>4589.96</v>
      </c>
      <c r="W50" s="49">
        <f t="shared" si="6"/>
        <v>0</v>
      </c>
      <c r="X50" s="46"/>
    </row>
    <row r="51" spans="1:24" x14ac:dyDescent="0.25">
      <c r="A51" s="7">
        <v>50</v>
      </c>
      <c r="B51" s="48" t="s">
        <v>87</v>
      </c>
      <c r="C51" s="38" t="s">
        <v>234</v>
      </c>
      <c r="D51" s="38" t="s">
        <v>234</v>
      </c>
      <c r="E51" s="38" t="s">
        <v>86</v>
      </c>
      <c r="F51" s="38" t="s">
        <v>266</v>
      </c>
      <c r="G51" s="38" t="s">
        <v>3</v>
      </c>
      <c r="H51" s="7" t="s">
        <v>117</v>
      </c>
      <c r="I51" s="7">
        <v>1000</v>
      </c>
      <c r="J51" s="7">
        <v>1514</v>
      </c>
      <c r="K51" s="7">
        <v>2</v>
      </c>
      <c r="L51" s="7" t="s">
        <v>4</v>
      </c>
      <c r="M51" s="2">
        <f t="shared" si="0"/>
        <v>3028</v>
      </c>
      <c r="N51" s="7">
        <v>0</v>
      </c>
      <c r="O51" s="5">
        <f t="shared" si="1"/>
        <v>3028</v>
      </c>
      <c r="P51" s="4">
        <f t="shared" si="2"/>
        <v>545.04</v>
      </c>
      <c r="Q51" s="2">
        <f t="shared" si="3"/>
        <v>3573.04</v>
      </c>
      <c r="R51" s="7">
        <v>0.18</v>
      </c>
      <c r="S51" s="49">
        <f t="shared" si="4"/>
        <v>3573.22</v>
      </c>
      <c r="T51" s="49">
        <v>3573.22</v>
      </c>
      <c r="U51" s="4">
        <f t="shared" si="5"/>
        <v>0</v>
      </c>
      <c r="V51" s="49">
        <v>3573.22</v>
      </c>
      <c r="W51" s="49">
        <f t="shared" si="6"/>
        <v>0</v>
      </c>
      <c r="X51" s="46"/>
    </row>
    <row r="52" spans="1:24" x14ac:dyDescent="0.25">
      <c r="A52" s="7">
        <v>51</v>
      </c>
      <c r="B52" s="48" t="s">
        <v>53</v>
      </c>
      <c r="C52" s="38" t="s">
        <v>54</v>
      </c>
      <c r="D52" s="38" t="s">
        <v>54</v>
      </c>
      <c r="E52" s="38" t="s">
        <v>153</v>
      </c>
      <c r="F52" s="38" t="s">
        <v>245</v>
      </c>
      <c r="G52" s="38" t="s">
        <v>3</v>
      </c>
      <c r="H52" s="7" t="s">
        <v>117</v>
      </c>
      <c r="I52" s="7">
        <v>1000</v>
      </c>
      <c r="J52" s="7">
        <v>1494</v>
      </c>
      <c r="K52" s="7">
        <v>2</v>
      </c>
      <c r="L52" s="7" t="s">
        <v>4</v>
      </c>
      <c r="M52" s="2">
        <f t="shared" si="0"/>
        <v>2988</v>
      </c>
      <c r="N52" s="7">
        <v>0</v>
      </c>
      <c r="O52" s="5">
        <f t="shared" si="1"/>
        <v>2988</v>
      </c>
      <c r="P52" s="4">
        <f t="shared" si="2"/>
        <v>537.84</v>
      </c>
      <c r="Q52" s="2">
        <f t="shared" si="3"/>
        <v>3525.84</v>
      </c>
      <c r="R52" s="7">
        <v>0</v>
      </c>
      <c r="S52" s="49">
        <f t="shared" si="4"/>
        <v>3525.84</v>
      </c>
      <c r="T52" s="49">
        <v>3525.84</v>
      </c>
      <c r="U52" s="4">
        <f t="shared" si="5"/>
        <v>0</v>
      </c>
      <c r="V52" s="49">
        <v>3525.84</v>
      </c>
      <c r="W52" s="49">
        <f t="shared" si="6"/>
        <v>0</v>
      </c>
      <c r="X52" s="46"/>
    </row>
    <row r="53" spans="1:24" x14ac:dyDescent="0.25">
      <c r="A53" s="7">
        <v>52</v>
      </c>
      <c r="B53" s="48" t="s">
        <v>359</v>
      </c>
      <c r="C53" s="38" t="s">
        <v>360</v>
      </c>
      <c r="D53" s="38" t="s">
        <v>361</v>
      </c>
      <c r="E53" s="38" t="s">
        <v>362</v>
      </c>
      <c r="F53" s="38" t="s">
        <v>246</v>
      </c>
      <c r="G53" s="38" t="s">
        <v>3</v>
      </c>
      <c r="H53" s="7" t="s">
        <v>117</v>
      </c>
      <c r="I53" s="7">
        <v>1000</v>
      </c>
      <c r="J53" s="7">
        <v>1534</v>
      </c>
      <c r="K53" s="7">
        <v>2</v>
      </c>
      <c r="L53" s="7" t="s">
        <v>4</v>
      </c>
      <c r="M53" s="2">
        <f t="shared" si="0"/>
        <v>3068</v>
      </c>
      <c r="N53" s="7">
        <v>0</v>
      </c>
      <c r="O53" s="5">
        <f t="shared" si="1"/>
        <v>3068</v>
      </c>
      <c r="P53" s="4">
        <f t="shared" si="2"/>
        <v>552.24</v>
      </c>
      <c r="Q53" s="2">
        <f t="shared" si="3"/>
        <v>3620.24</v>
      </c>
      <c r="R53" s="7">
        <v>0.02</v>
      </c>
      <c r="S53" s="49">
        <f t="shared" si="4"/>
        <v>3620.2599999999998</v>
      </c>
      <c r="T53" s="49">
        <v>3620.26</v>
      </c>
      <c r="U53" s="4">
        <f t="shared" si="5"/>
        <v>0</v>
      </c>
      <c r="V53" s="49">
        <v>3620.26</v>
      </c>
      <c r="W53" s="49">
        <f t="shared" si="6"/>
        <v>0</v>
      </c>
      <c r="X53" s="46"/>
    </row>
    <row r="54" spans="1:24" x14ac:dyDescent="0.25">
      <c r="A54" s="7">
        <v>53</v>
      </c>
      <c r="B54" s="48" t="s">
        <v>347</v>
      </c>
      <c r="C54" s="38" t="s">
        <v>348</v>
      </c>
      <c r="D54" s="38" t="s">
        <v>348</v>
      </c>
      <c r="E54" s="38" t="s">
        <v>349</v>
      </c>
      <c r="F54" s="38" t="s">
        <v>241</v>
      </c>
      <c r="G54" s="38" t="s">
        <v>3</v>
      </c>
      <c r="H54" s="7" t="s">
        <v>117</v>
      </c>
      <c r="I54" s="7">
        <v>1000</v>
      </c>
      <c r="J54" s="7">
        <v>1000</v>
      </c>
      <c r="K54" s="7">
        <v>1</v>
      </c>
      <c r="L54" s="7" t="s">
        <v>4</v>
      </c>
      <c r="M54" s="2">
        <f t="shared" si="0"/>
        <v>1000</v>
      </c>
      <c r="N54" s="7">
        <v>0</v>
      </c>
      <c r="O54" s="5">
        <f t="shared" si="1"/>
        <v>1000</v>
      </c>
      <c r="P54" s="4">
        <f t="shared" si="2"/>
        <v>180</v>
      </c>
      <c r="Q54" s="2">
        <f t="shared" si="3"/>
        <v>1180</v>
      </c>
      <c r="R54" s="7">
        <v>0</v>
      </c>
      <c r="S54" s="49">
        <f t="shared" si="4"/>
        <v>1180</v>
      </c>
      <c r="T54" s="49">
        <v>1180</v>
      </c>
      <c r="U54" s="4">
        <f t="shared" si="5"/>
        <v>0</v>
      </c>
      <c r="V54" s="49">
        <v>1180</v>
      </c>
      <c r="W54" s="49">
        <f t="shared" si="6"/>
        <v>0</v>
      </c>
      <c r="X54" s="46"/>
    </row>
    <row r="55" spans="1:24" x14ac:dyDescent="0.25">
      <c r="A55" s="7">
        <v>54</v>
      </c>
      <c r="B55" s="48" t="s">
        <v>21</v>
      </c>
      <c r="C55" s="38" t="s">
        <v>281</v>
      </c>
      <c r="D55" s="38" t="s">
        <v>81</v>
      </c>
      <c r="E55" s="38" t="s">
        <v>20</v>
      </c>
      <c r="F55" s="38" t="s">
        <v>246</v>
      </c>
      <c r="G55" s="38" t="s">
        <v>3</v>
      </c>
      <c r="H55" s="7" t="s">
        <v>117</v>
      </c>
      <c r="I55" s="7">
        <v>1000</v>
      </c>
      <c r="J55" s="7">
        <v>4891</v>
      </c>
      <c r="K55" s="7">
        <v>2</v>
      </c>
      <c r="L55" s="7" t="s">
        <v>4</v>
      </c>
      <c r="M55" s="2">
        <f t="shared" si="0"/>
        <v>9782</v>
      </c>
      <c r="N55" s="7">
        <v>0</v>
      </c>
      <c r="O55" s="5">
        <f t="shared" si="1"/>
        <v>9782</v>
      </c>
      <c r="P55" s="4">
        <f t="shared" si="2"/>
        <v>1760.76</v>
      </c>
      <c r="Q55" s="2">
        <f t="shared" si="3"/>
        <v>11542.76</v>
      </c>
      <c r="R55" s="7">
        <v>-0.19</v>
      </c>
      <c r="S55" s="49">
        <f t="shared" si="4"/>
        <v>11542.57</v>
      </c>
      <c r="T55" s="49">
        <v>11542.57</v>
      </c>
      <c r="U55" s="4">
        <f t="shared" si="5"/>
        <v>0</v>
      </c>
      <c r="V55" s="49">
        <v>11542.57</v>
      </c>
      <c r="W55" s="49">
        <f t="shared" si="6"/>
        <v>0</v>
      </c>
      <c r="X55" s="46"/>
    </row>
    <row r="56" spans="1:24" x14ac:dyDescent="0.25">
      <c r="A56" s="7">
        <v>55</v>
      </c>
      <c r="B56" s="48" t="s">
        <v>142</v>
      </c>
      <c r="C56" s="38" t="s">
        <v>61</v>
      </c>
      <c r="D56" s="38" t="s">
        <v>61</v>
      </c>
      <c r="E56" s="38" t="s">
        <v>223</v>
      </c>
      <c r="F56" s="38" t="s">
        <v>245</v>
      </c>
      <c r="G56" s="38" t="s">
        <v>3</v>
      </c>
      <c r="H56" s="7" t="s">
        <v>117</v>
      </c>
      <c r="I56" s="7">
        <v>1000</v>
      </c>
      <c r="J56" s="7">
        <v>1382</v>
      </c>
      <c r="K56" s="7">
        <v>2</v>
      </c>
      <c r="L56" s="7" t="s">
        <v>4</v>
      </c>
      <c r="M56" s="2">
        <f t="shared" si="0"/>
        <v>2764</v>
      </c>
      <c r="N56" s="7">
        <v>0</v>
      </c>
      <c r="O56" s="5">
        <f t="shared" si="1"/>
        <v>2764</v>
      </c>
      <c r="P56" s="4">
        <f t="shared" si="2"/>
        <v>497.52</v>
      </c>
      <c r="Q56" s="2">
        <f t="shared" si="3"/>
        <v>3261.52</v>
      </c>
      <c r="R56" s="7">
        <v>-0.44</v>
      </c>
      <c r="S56" s="49">
        <f t="shared" si="4"/>
        <v>3261.08</v>
      </c>
      <c r="T56" s="49">
        <v>3261.08</v>
      </c>
      <c r="U56" s="4">
        <f t="shared" si="5"/>
        <v>0</v>
      </c>
      <c r="V56" s="49">
        <v>3261.08</v>
      </c>
      <c r="W56" s="49">
        <f t="shared" si="6"/>
        <v>0</v>
      </c>
      <c r="X56" s="46"/>
    </row>
    <row r="57" spans="1:24" x14ac:dyDescent="0.25">
      <c r="A57" s="7">
        <v>56</v>
      </c>
      <c r="B57" s="48" t="s">
        <v>164</v>
      </c>
      <c r="C57" s="38" t="s">
        <v>75</v>
      </c>
      <c r="D57" s="38" t="s">
        <v>75</v>
      </c>
      <c r="E57" s="38" t="s">
        <v>220</v>
      </c>
      <c r="F57" s="38" t="s">
        <v>241</v>
      </c>
      <c r="G57" s="38" t="s">
        <v>3</v>
      </c>
      <c r="H57" s="7" t="s">
        <v>117</v>
      </c>
      <c r="I57" s="7">
        <v>1000</v>
      </c>
      <c r="J57" s="7">
        <v>1568</v>
      </c>
      <c r="K57" s="7">
        <v>2</v>
      </c>
      <c r="L57" s="7" t="s">
        <v>4</v>
      </c>
      <c r="M57" s="2">
        <f t="shared" si="0"/>
        <v>3136</v>
      </c>
      <c r="N57" s="7">
        <v>0</v>
      </c>
      <c r="O57" s="5">
        <f t="shared" si="1"/>
        <v>3136</v>
      </c>
      <c r="P57" s="4">
        <f t="shared" si="2"/>
        <v>564.48</v>
      </c>
      <c r="Q57" s="2">
        <f t="shared" si="3"/>
        <v>3700.48</v>
      </c>
      <c r="R57" s="7">
        <v>-0.1</v>
      </c>
      <c r="S57" s="49">
        <f t="shared" si="4"/>
        <v>3700.38</v>
      </c>
      <c r="T57" s="49">
        <v>3700.38</v>
      </c>
      <c r="U57" s="4">
        <f t="shared" si="5"/>
        <v>0</v>
      </c>
      <c r="V57" s="49">
        <v>3700.38</v>
      </c>
      <c r="W57" s="49">
        <f t="shared" si="6"/>
        <v>0</v>
      </c>
      <c r="X57" s="46"/>
    </row>
    <row r="58" spans="1:24" x14ac:dyDescent="0.25">
      <c r="A58" s="7">
        <v>57</v>
      </c>
      <c r="B58" s="48" t="s">
        <v>326</v>
      </c>
      <c r="C58" s="38" t="s">
        <v>327</v>
      </c>
      <c r="D58" s="38" t="s">
        <v>327</v>
      </c>
      <c r="E58" s="38" t="s">
        <v>328</v>
      </c>
      <c r="F58" s="38" t="s">
        <v>247</v>
      </c>
      <c r="G58" s="38" t="s">
        <v>3</v>
      </c>
      <c r="H58" s="7" t="s">
        <v>117</v>
      </c>
      <c r="I58" s="7">
        <v>1000</v>
      </c>
      <c r="J58" s="7">
        <v>2355</v>
      </c>
      <c r="K58" s="7">
        <v>2</v>
      </c>
      <c r="L58" s="7" t="s">
        <v>4</v>
      </c>
      <c r="M58" s="2">
        <f t="shared" si="0"/>
        <v>4710</v>
      </c>
      <c r="N58" s="7">
        <v>0</v>
      </c>
      <c r="O58" s="5">
        <f t="shared" si="1"/>
        <v>4710</v>
      </c>
      <c r="P58" s="4">
        <f t="shared" si="2"/>
        <v>847.8</v>
      </c>
      <c r="Q58" s="2">
        <f t="shared" si="3"/>
        <v>5557.8</v>
      </c>
      <c r="R58" s="7">
        <v>-0.86</v>
      </c>
      <c r="S58" s="49">
        <f t="shared" si="4"/>
        <v>5556.9400000000005</v>
      </c>
      <c r="T58" s="49">
        <v>5556.94</v>
      </c>
      <c r="U58" s="4">
        <f t="shared" si="5"/>
        <v>0</v>
      </c>
      <c r="V58" s="49">
        <v>5556.94</v>
      </c>
      <c r="W58" s="49">
        <f t="shared" si="6"/>
        <v>0</v>
      </c>
      <c r="X58" s="46"/>
    </row>
    <row r="59" spans="1:24" x14ac:dyDescent="0.25">
      <c r="A59" s="7">
        <v>58</v>
      </c>
      <c r="B59" s="48" t="s">
        <v>211</v>
      </c>
      <c r="C59" s="38" t="s">
        <v>227</v>
      </c>
      <c r="D59" s="38" t="s">
        <v>227</v>
      </c>
      <c r="E59" s="38" t="s">
        <v>228</v>
      </c>
      <c r="F59" s="38" t="s">
        <v>241</v>
      </c>
      <c r="G59" s="38" t="s">
        <v>3</v>
      </c>
      <c r="H59" s="7" t="s">
        <v>117</v>
      </c>
      <c r="I59" s="7">
        <v>1000</v>
      </c>
      <c r="J59" s="7">
        <v>2107</v>
      </c>
      <c r="K59" s="7">
        <v>2</v>
      </c>
      <c r="L59" s="7" t="s">
        <v>4</v>
      </c>
      <c r="M59" s="2">
        <f t="shared" si="0"/>
        <v>4214</v>
      </c>
      <c r="N59" s="7">
        <v>0</v>
      </c>
      <c r="O59" s="5">
        <f t="shared" si="1"/>
        <v>4214</v>
      </c>
      <c r="P59" s="4">
        <f t="shared" si="2"/>
        <v>758.52</v>
      </c>
      <c r="Q59" s="2">
        <f t="shared" si="3"/>
        <v>4972.5200000000004</v>
      </c>
      <c r="R59" s="7">
        <v>-0.92</v>
      </c>
      <c r="S59" s="49">
        <f t="shared" si="4"/>
        <v>4971.6000000000004</v>
      </c>
      <c r="T59" s="49">
        <v>4971.6000000000004</v>
      </c>
      <c r="U59" s="4">
        <f t="shared" si="5"/>
        <v>0</v>
      </c>
      <c r="V59" s="49">
        <v>4971.6000000000004</v>
      </c>
      <c r="W59" s="49">
        <f t="shared" si="6"/>
        <v>0</v>
      </c>
      <c r="X59" s="46"/>
    </row>
    <row r="60" spans="1:24" x14ac:dyDescent="0.25">
      <c r="A60" s="7">
        <v>59</v>
      </c>
      <c r="B60" s="48" t="s">
        <v>146</v>
      </c>
      <c r="C60" s="38" t="s">
        <v>77</v>
      </c>
      <c r="D60" s="38" t="s">
        <v>77</v>
      </c>
      <c r="E60" s="38" t="s">
        <v>76</v>
      </c>
      <c r="F60" s="38" t="s">
        <v>248</v>
      </c>
      <c r="G60" s="38" t="s">
        <v>3</v>
      </c>
      <c r="H60" s="7" t="s">
        <v>117</v>
      </c>
      <c r="I60" s="7">
        <v>1000</v>
      </c>
      <c r="J60" s="7">
        <v>1127</v>
      </c>
      <c r="K60" s="7">
        <v>2</v>
      </c>
      <c r="L60" s="7" t="s">
        <v>4</v>
      </c>
      <c r="M60" s="2">
        <f t="shared" si="0"/>
        <v>2254</v>
      </c>
      <c r="N60" s="7">
        <v>0</v>
      </c>
      <c r="O60" s="5">
        <f t="shared" si="1"/>
        <v>2254</v>
      </c>
      <c r="P60" s="4">
        <f t="shared" si="2"/>
        <v>405.71999999999997</v>
      </c>
      <c r="Q60" s="2">
        <f t="shared" si="3"/>
        <v>2659.72</v>
      </c>
      <c r="R60" s="7">
        <v>-8.6</v>
      </c>
      <c r="S60" s="49">
        <f t="shared" si="4"/>
        <v>2651.12</v>
      </c>
      <c r="T60" s="49">
        <v>2651.12</v>
      </c>
      <c r="U60" s="4">
        <f t="shared" si="5"/>
        <v>0</v>
      </c>
      <c r="V60" s="49">
        <v>2651.12</v>
      </c>
      <c r="W60" s="49">
        <f t="shared" si="6"/>
        <v>0</v>
      </c>
      <c r="X60" s="46"/>
    </row>
    <row r="61" spans="1:24" x14ac:dyDescent="0.25">
      <c r="A61" s="7">
        <v>60</v>
      </c>
      <c r="B61" s="48" t="s">
        <v>82</v>
      </c>
      <c r="C61" s="38" t="s">
        <v>257</v>
      </c>
      <c r="D61" s="38" t="s">
        <v>159</v>
      </c>
      <c r="E61" s="38" t="s">
        <v>358</v>
      </c>
      <c r="F61" s="38" t="s">
        <v>246</v>
      </c>
      <c r="G61" s="38" t="s">
        <v>3</v>
      </c>
      <c r="H61" s="7" t="s">
        <v>117</v>
      </c>
      <c r="I61" s="7">
        <v>1000</v>
      </c>
      <c r="J61" s="7">
        <v>2772</v>
      </c>
      <c r="K61" s="7">
        <v>2</v>
      </c>
      <c r="L61" s="7" t="s">
        <v>4</v>
      </c>
      <c r="M61" s="2">
        <f t="shared" si="0"/>
        <v>5544</v>
      </c>
      <c r="N61" s="7">
        <v>0</v>
      </c>
      <c r="O61" s="5">
        <f t="shared" si="1"/>
        <v>5544</v>
      </c>
      <c r="P61" s="4">
        <f t="shared" si="2"/>
        <v>997.92</v>
      </c>
      <c r="Q61" s="2">
        <f t="shared" si="3"/>
        <v>6541.92</v>
      </c>
      <c r="R61" s="7">
        <v>0.4</v>
      </c>
      <c r="S61" s="49">
        <f t="shared" si="4"/>
        <v>6542.32</v>
      </c>
      <c r="T61" s="49">
        <v>6542.32</v>
      </c>
      <c r="U61" s="4">
        <f t="shared" si="5"/>
        <v>0</v>
      </c>
      <c r="V61" s="49">
        <v>6542.32</v>
      </c>
      <c r="W61" s="49">
        <f t="shared" si="6"/>
        <v>0</v>
      </c>
      <c r="X61" s="46"/>
    </row>
    <row r="62" spans="1:24" x14ac:dyDescent="0.25">
      <c r="A62" s="7">
        <v>61</v>
      </c>
      <c r="B62" s="48" t="s">
        <v>51</v>
      </c>
      <c r="C62" s="38" t="s">
        <v>52</v>
      </c>
      <c r="D62" s="38" t="s">
        <v>52</v>
      </c>
      <c r="E62" s="38" t="s">
        <v>50</v>
      </c>
      <c r="F62" s="38" t="s">
        <v>240</v>
      </c>
      <c r="G62" s="38" t="s">
        <v>3</v>
      </c>
      <c r="H62" s="7" t="s">
        <v>117</v>
      </c>
      <c r="I62" s="7">
        <v>1000</v>
      </c>
      <c r="J62" s="7">
        <v>1000</v>
      </c>
      <c r="K62" s="7">
        <v>2</v>
      </c>
      <c r="L62" s="7" t="s">
        <v>4</v>
      </c>
      <c r="M62" s="2">
        <f t="shared" si="0"/>
        <v>2000</v>
      </c>
      <c r="N62" s="7">
        <v>0</v>
      </c>
      <c r="O62" s="5">
        <f t="shared" si="1"/>
        <v>2000</v>
      </c>
      <c r="P62" s="4">
        <f t="shared" si="2"/>
        <v>360</v>
      </c>
      <c r="Q62" s="2">
        <f t="shared" si="3"/>
        <v>2360</v>
      </c>
      <c r="R62" s="7">
        <v>0</v>
      </c>
      <c r="S62" s="49">
        <f t="shared" si="4"/>
        <v>2360</v>
      </c>
      <c r="T62" s="49">
        <v>2360</v>
      </c>
      <c r="U62" s="4">
        <f t="shared" si="5"/>
        <v>0</v>
      </c>
      <c r="V62" s="49">
        <v>2360</v>
      </c>
      <c r="W62" s="49">
        <f t="shared" si="6"/>
        <v>0</v>
      </c>
      <c r="X62" s="46"/>
    </row>
    <row r="63" spans="1:24" x14ac:dyDescent="0.25">
      <c r="A63" s="7">
        <v>62</v>
      </c>
      <c r="B63" s="48" t="s">
        <v>339</v>
      </c>
      <c r="C63" s="38" t="s">
        <v>340</v>
      </c>
      <c r="D63" s="38" t="s">
        <v>341</v>
      </c>
      <c r="E63" s="38" t="s">
        <v>342</v>
      </c>
      <c r="F63" s="38" t="s">
        <v>240</v>
      </c>
      <c r="G63" s="38" t="s">
        <v>3</v>
      </c>
      <c r="H63" s="7" t="s">
        <v>117</v>
      </c>
      <c r="I63" s="7">
        <v>1000</v>
      </c>
      <c r="J63" s="7">
        <v>1000</v>
      </c>
      <c r="K63" s="7">
        <v>2</v>
      </c>
      <c r="L63" s="7" t="s">
        <v>4</v>
      </c>
      <c r="M63" s="2">
        <f t="shared" si="0"/>
        <v>2000</v>
      </c>
      <c r="N63" s="7">
        <v>0</v>
      </c>
      <c r="O63" s="5">
        <f t="shared" si="1"/>
        <v>2000</v>
      </c>
      <c r="P63" s="4">
        <f t="shared" si="2"/>
        <v>360</v>
      </c>
      <c r="Q63" s="2">
        <f t="shared" si="3"/>
        <v>2360</v>
      </c>
      <c r="R63" s="7">
        <v>0</v>
      </c>
      <c r="S63" s="49">
        <f t="shared" si="4"/>
        <v>2360</v>
      </c>
      <c r="T63" s="49">
        <v>2360</v>
      </c>
      <c r="U63" s="4">
        <f t="shared" si="5"/>
        <v>0</v>
      </c>
      <c r="V63" s="49">
        <v>2360</v>
      </c>
      <c r="W63" s="49">
        <f t="shared" si="6"/>
        <v>0</v>
      </c>
      <c r="X63" s="46"/>
    </row>
    <row r="64" spans="1:24" x14ac:dyDescent="0.25">
      <c r="A64" s="7">
        <v>63</v>
      </c>
      <c r="B64" s="48" t="s">
        <v>317</v>
      </c>
      <c r="C64" s="38" t="s">
        <v>318</v>
      </c>
      <c r="D64" s="38" t="s">
        <v>318</v>
      </c>
      <c r="E64" s="38" t="s">
        <v>319</v>
      </c>
      <c r="F64" s="38" t="s">
        <v>248</v>
      </c>
      <c r="G64" s="38" t="s">
        <v>3</v>
      </c>
      <c r="H64" s="7" t="s">
        <v>117</v>
      </c>
      <c r="I64" s="7">
        <v>1000</v>
      </c>
      <c r="J64" s="7">
        <v>1000</v>
      </c>
      <c r="K64" s="7">
        <v>2</v>
      </c>
      <c r="L64" s="7" t="s">
        <v>4</v>
      </c>
      <c r="M64" s="2">
        <f t="shared" si="0"/>
        <v>2000</v>
      </c>
      <c r="N64" s="7">
        <v>0</v>
      </c>
      <c r="O64" s="5">
        <f t="shared" si="1"/>
        <v>2000</v>
      </c>
      <c r="P64" s="4">
        <f t="shared" si="2"/>
        <v>360</v>
      </c>
      <c r="Q64" s="2">
        <f t="shared" si="3"/>
        <v>2360</v>
      </c>
      <c r="R64" s="7">
        <v>0.3</v>
      </c>
      <c r="S64" s="49">
        <f t="shared" si="4"/>
        <v>2360.3000000000002</v>
      </c>
      <c r="T64" s="49">
        <v>2360.3000000000002</v>
      </c>
      <c r="U64" s="4">
        <f t="shared" si="5"/>
        <v>0</v>
      </c>
      <c r="V64" s="49">
        <v>2360.3000000000002</v>
      </c>
      <c r="W64" s="49">
        <f t="shared" si="6"/>
        <v>0</v>
      </c>
      <c r="X64" s="46"/>
    </row>
    <row r="65" spans="1:24" x14ac:dyDescent="0.25">
      <c r="A65" s="7">
        <v>64</v>
      </c>
      <c r="B65" s="48" t="s">
        <v>112</v>
      </c>
      <c r="C65" s="38" t="s">
        <v>113</v>
      </c>
      <c r="D65" s="38" t="s">
        <v>113</v>
      </c>
      <c r="E65" s="38" t="s">
        <v>111</v>
      </c>
      <c r="F65" s="38" t="s">
        <v>237</v>
      </c>
      <c r="G65" s="38" t="s">
        <v>3</v>
      </c>
      <c r="H65" s="7" t="s">
        <v>117</v>
      </c>
      <c r="I65" s="7">
        <v>1000</v>
      </c>
      <c r="J65" s="7">
        <v>1000</v>
      </c>
      <c r="K65" s="7">
        <v>1</v>
      </c>
      <c r="L65" s="7" t="s">
        <v>4</v>
      </c>
      <c r="M65" s="2">
        <f t="shared" si="0"/>
        <v>1000</v>
      </c>
      <c r="N65" s="7">
        <v>0</v>
      </c>
      <c r="O65" s="5">
        <f t="shared" si="1"/>
        <v>1000</v>
      </c>
      <c r="P65" s="4">
        <f t="shared" si="2"/>
        <v>180</v>
      </c>
      <c r="Q65" s="2">
        <f t="shared" si="3"/>
        <v>1180</v>
      </c>
      <c r="R65" s="7">
        <v>0</v>
      </c>
      <c r="S65" s="49">
        <f t="shared" si="4"/>
        <v>1180</v>
      </c>
      <c r="T65" s="49">
        <v>1180</v>
      </c>
      <c r="U65" s="4">
        <f t="shared" si="5"/>
        <v>0</v>
      </c>
      <c r="V65" s="49">
        <v>1180</v>
      </c>
      <c r="W65" s="49">
        <f t="shared" si="6"/>
        <v>0</v>
      </c>
      <c r="X65" s="46"/>
    </row>
    <row r="66" spans="1:24" x14ac:dyDescent="0.25">
      <c r="A66" s="7">
        <v>65</v>
      </c>
      <c r="B66" s="48" t="s">
        <v>298</v>
      </c>
      <c r="C66" s="38" t="s">
        <v>299</v>
      </c>
      <c r="D66" s="38" t="s">
        <v>299</v>
      </c>
      <c r="E66" s="38" t="s">
        <v>43</v>
      </c>
      <c r="F66" s="38" t="s">
        <v>236</v>
      </c>
      <c r="G66" s="38" t="s">
        <v>3</v>
      </c>
      <c r="H66" s="7" t="s">
        <v>117</v>
      </c>
      <c r="I66" s="7">
        <v>1000</v>
      </c>
      <c r="J66" s="7">
        <v>1000</v>
      </c>
      <c r="K66" s="7">
        <v>2</v>
      </c>
      <c r="L66" s="7" t="s">
        <v>4</v>
      </c>
      <c r="M66" s="2">
        <f t="shared" ref="M66:M128" si="7">J66*K66</f>
        <v>2000</v>
      </c>
      <c r="N66" s="7">
        <v>0</v>
      </c>
      <c r="O66" s="5">
        <f t="shared" ref="O66:O128" si="8">M66-N66</f>
        <v>2000</v>
      </c>
      <c r="P66" s="4">
        <f t="shared" si="2"/>
        <v>360</v>
      </c>
      <c r="Q66" s="2">
        <f t="shared" si="3"/>
        <v>2360</v>
      </c>
      <c r="R66" s="7">
        <v>0</v>
      </c>
      <c r="S66" s="49">
        <f t="shared" si="4"/>
        <v>2360</v>
      </c>
      <c r="T66" s="49">
        <v>2360</v>
      </c>
      <c r="U66" s="4">
        <f t="shared" si="5"/>
        <v>0</v>
      </c>
      <c r="V66" s="49">
        <v>2360</v>
      </c>
      <c r="W66" s="49">
        <f t="shared" si="6"/>
        <v>0</v>
      </c>
      <c r="X66" s="46"/>
    </row>
    <row r="67" spans="1:24" x14ac:dyDescent="0.25">
      <c r="A67" s="7">
        <v>66</v>
      </c>
      <c r="B67" s="48" t="s">
        <v>56</v>
      </c>
      <c r="C67" s="38" t="s">
        <v>57</v>
      </c>
      <c r="D67" s="38" t="s">
        <v>57</v>
      </c>
      <c r="E67" s="38" t="s">
        <v>55</v>
      </c>
      <c r="F67" s="38" t="s">
        <v>237</v>
      </c>
      <c r="G67" s="38" t="s">
        <v>3</v>
      </c>
      <c r="H67" s="7" t="s">
        <v>117</v>
      </c>
      <c r="I67" s="7">
        <v>1000</v>
      </c>
      <c r="J67" s="7">
        <v>1301</v>
      </c>
      <c r="K67" s="7">
        <v>2</v>
      </c>
      <c r="L67" s="7" t="s">
        <v>4</v>
      </c>
      <c r="M67" s="2">
        <f t="shared" si="7"/>
        <v>2602</v>
      </c>
      <c r="N67" s="7">
        <v>0</v>
      </c>
      <c r="O67" s="5">
        <f t="shared" si="8"/>
        <v>2602</v>
      </c>
      <c r="P67" s="4">
        <f t="shared" ref="P67:P129" si="9">O67*18%</f>
        <v>468.35999999999996</v>
      </c>
      <c r="Q67" s="2">
        <f t="shared" ref="Q67:Q129" si="10">SUM(O67:P67)</f>
        <v>3070.36</v>
      </c>
      <c r="R67" s="7">
        <v>-26.12</v>
      </c>
      <c r="S67" s="49">
        <f t="shared" ref="S67:S129" si="11">Q67+R67</f>
        <v>3044.2400000000002</v>
      </c>
      <c r="T67" s="49">
        <v>3044.24</v>
      </c>
      <c r="U67" s="4">
        <f t="shared" ref="U67:U129" si="12">S67-T67</f>
        <v>0</v>
      </c>
      <c r="V67" s="49">
        <v>3044.24</v>
      </c>
      <c r="W67" s="49">
        <f t="shared" ref="W67:W129" si="13">ROUND(S67-V67,2)</f>
        <v>0</v>
      </c>
      <c r="X67" s="46"/>
    </row>
    <row r="68" spans="1:24" x14ac:dyDescent="0.25">
      <c r="A68" s="7">
        <v>67</v>
      </c>
      <c r="B68" s="48" t="s">
        <v>116</v>
      </c>
      <c r="C68" s="38" t="s">
        <v>411</v>
      </c>
      <c r="D68" s="38" t="s">
        <v>118</v>
      </c>
      <c r="E68" s="38" t="s">
        <v>230</v>
      </c>
      <c r="F68" s="38" t="s">
        <v>251</v>
      </c>
      <c r="G68" s="38" t="s">
        <v>3</v>
      </c>
      <c r="H68" s="7" t="s">
        <v>117</v>
      </c>
      <c r="I68" s="7">
        <v>1000</v>
      </c>
      <c r="J68" s="7">
        <v>1000</v>
      </c>
      <c r="K68" s="7">
        <v>2</v>
      </c>
      <c r="L68" s="7" t="s">
        <v>4</v>
      </c>
      <c r="M68" s="2">
        <f t="shared" si="7"/>
        <v>2000</v>
      </c>
      <c r="N68" s="7">
        <v>0</v>
      </c>
      <c r="O68" s="5">
        <f t="shared" si="8"/>
        <v>2000</v>
      </c>
      <c r="P68" s="4">
        <f t="shared" si="9"/>
        <v>360</v>
      </c>
      <c r="Q68" s="2">
        <f t="shared" si="10"/>
        <v>2360</v>
      </c>
      <c r="R68" s="7">
        <v>0.3</v>
      </c>
      <c r="S68" s="49">
        <f t="shared" si="11"/>
        <v>2360.3000000000002</v>
      </c>
      <c r="T68" s="49">
        <v>2360.3000000000002</v>
      </c>
      <c r="U68" s="4">
        <f t="shared" si="12"/>
        <v>0</v>
      </c>
      <c r="V68" s="49">
        <v>2360.3000000000002</v>
      </c>
      <c r="W68" s="49">
        <f t="shared" si="13"/>
        <v>0</v>
      </c>
      <c r="X68" s="46"/>
    </row>
    <row r="69" spans="1:24" x14ac:dyDescent="0.25">
      <c r="A69" s="7">
        <v>68</v>
      </c>
      <c r="B69" s="48" t="s">
        <v>154</v>
      </c>
      <c r="C69" s="38" t="s">
        <v>104</v>
      </c>
      <c r="D69" s="38" t="s">
        <v>187</v>
      </c>
      <c r="E69" s="38" t="s">
        <v>288</v>
      </c>
      <c r="F69" s="38" t="s">
        <v>251</v>
      </c>
      <c r="G69" s="38" t="s">
        <v>3</v>
      </c>
      <c r="H69" s="7" t="s">
        <v>117</v>
      </c>
      <c r="I69" s="7">
        <v>1000</v>
      </c>
      <c r="J69" s="7">
        <v>1341</v>
      </c>
      <c r="K69" s="7">
        <v>2</v>
      </c>
      <c r="L69" s="7" t="s">
        <v>4</v>
      </c>
      <c r="M69" s="2">
        <f t="shared" si="7"/>
        <v>2682</v>
      </c>
      <c r="N69" s="7">
        <v>0</v>
      </c>
      <c r="O69" s="5">
        <f t="shared" si="8"/>
        <v>2682</v>
      </c>
      <c r="P69" s="4">
        <f t="shared" si="9"/>
        <v>482.76</v>
      </c>
      <c r="Q69" s="2">
        <f t="shared" si="10"/>
        <v>3164.76</v>
      </c>
      <c r="R69" s="7">
        <v>-1.84</v>
      </c>
      <c r="S69" s="49">
        <f t="shared" si="11"/>
        <v>3162.92</v>
      </c>
      <c r="T69" s="49">
        <v>3162.92</v>
      </c>
      <c r="U69" s="4">
        <f t="shared" si="12"/>
        <v>0</v>
      </c>
      <c r="V69" s="49">
        <v>3162.92</v>
      </c>
      <c r="W69" s="49">
        <f t="shared" si="13"/>
        <v>0</v>
      </c>
      <c r="X69" s="46"/>
    </row>
    <row r="70" spans="1:24" x14ac:dyDescent="0.25">
      <c r="A70" s="7">
        <v>69</v>
      </c>
      <c r="B70" s="48" t="s">
        <v>165</v>
      </c>
      <c r="C70" s="38" t="s">
        <v>255</v>
      </c>
      <c r="D70" s="38" t="s">
        <v>166</v>
      </c>
      <c r="E70" s="38" t="s">
        <v>49</v>
      </c>
      <c r="F70" s="38" t="s">
        <v>256</v>
      </c>
      <c r="G70" s="38" t="s">
        <v>3</v>
      </c>
      <c r="H70" s="7" t="s">
        <v>117</v>
      </c>
      <c r="I70" s="7">
        <v>1000</v>
      </c>
      <c r="J70" s="7">
        <v>1000</v>
      </c>
      <c r="K70" s="7">
        <v>1</v>
      </c>
      <c r="L70" s="7" t="s">
        <v>4</v>
      </c>
      <c r="M70" s="2">
        <f t="shared" si="7"/>
        <v>1000</v>
      </c>
      <c r="N70" s="7">
        <v>0</v>
      </c>
      <c r="O70" s="5">
        <f t="shared" si="8"/>
        <v>1000</v>
      </c>
      <c r="P70" s="4">
        <f t="shared" si="9"/>
        <v>180</v>
      </c>
      <c r="Q70" s="2">
        <f t="shared" si="10"/>
        <v>1180</v>
      </c>
      <c r="R70" s="7">
        <v>0</v>
      </c>
      <c r="S70" s="49">
        <f t="shared" si="11"/>
        <v>1180</v>
      </c>
      <c r="T70" s="49">
        <v>1180</v>
      </c>
      <c r="U70" s="4">
        <f t="shared" si="12"/>
        <v>0</v>
      </c>
      <c r="V70" s="49">
        <v>1180</v>
      </c>
      <c r="W70" s="49">
        <f t="shared" si="13"/>
        <v>0</v>
      </c>
      <c r="X70" s="46"/>
    </row>
    <row r="71" spans="1:24" x14ac:dyDescent="0.25">
      <c r="A71" s="7">
        <v>70</v>
      </c>
      <c r="B71" s="48" t="s">
        <v>157</v>
      </c>
      <c r="C71" s="38" t="s">
        <v>6</v>
      </c>
      <c r="D71" s="38" t="s">
        <v>6</v>
      </c>
      <c r="E71" s="38" t="s">
        <v>222</v>
      </c>
      <c r="F71" s="38" t="s">
        <v>237</v>
      </c>
      <c r="G71" s="38" t="s">
        <v>3</v>
      </c>
      <c r="H71" s="7" t="s">
        <v>117</v>
      </c>
      <c r="I71" s="7">
        <v>1000</v>
      </c>
      <c r="J71" s="7">
        <v>1000</v>
      </c>
      <c r="K71" s="7">
        <v>2</v>
      </c>
      <c r="L71" s="7" t="s">
        <v>4</v>
      </c>
      <c r="M71" s="2">
        <f t="shared" si="7"/>
        <v>2000</v>
      </c>
      <c r="N71" s="7">
        <v>0</v>
      </c>
      <c r="O71" s="5">
        <f t="shared" si="8"/>
        <v>2000</v>
      </c>
      <c r="P71" s="4">
        <f t="shared" si="9"/>
        <v>360</v>
      </c>
      <c r="Q71" s="2">
        <f t="shared" si="10"/>
        <v>2360</v>
      </c>
      <c r="R71" s="7">
        <v>-0.5</v>
      </c>
      <c r="S71" s="49">
        <f t="shared" si="11"/>
        <v>2359.5</v>
      </c>
      <c r="T71" s="49">
        <v>2359.5</v>
      </c>
      <c r="U71" s="4">
        <f t="shared" si="12"/>
        <v>0</v>
      </c>
      <c r="V71" s="49">
        <v>2359.5</v>
      </c>
      <c r="W71" s="49">
        <f t="shared" si="13"/>
        <v>0</v>
      </c>
      <c r="X71" s="46"/>
    </row>
    <row r="72" spans="1:24" x14ac:dyDescent="0.25">
      <c r="A72" s="7">
        <v>71</v>
      </c>
      <c r="B72" s="48" t="s">
        <v>24</v>
      </c>
      <c r="C72" s="38" t="s">
        <v>25</v>
      </c>
      <c r="D72" s="38" t="s">
        <v>25</v>
      </c>
      <c r="E72" s="38" t="s">
        <v>23</v>
      </c>
      <c r="F72" s="38" t="s">
        <v>246</v>
      </c>
      <c r="G72" s="38" t="s">
        <v>3</v>
      </c>
      <c r="H72" s="7" t="s">
        <v>117</v>
      </c>
      <c r="I72" s="7">
        <v>1000</v>
      </c>
      <c r="J72" s="7">
        <v>1000</v>
      </c>
      <c r="K72" s="7">
        <v>2</v>
      </c>
      <c r="L72" s="7" t="s">
        <v>4</v>
      </c>
      <c r="M72" s="2">
        <f t="shared" si="7"/>
        <v>2000</v>
      </c>
      <c r="N72" s="7">
        <v>0</v>
      </c>
      <c r="O72" s="5">
        <f t="shared" si="8"/>
        <v>2000</v>
      </c>
      <c r="P72" s="4">
        <f t="shared" si="9"/>
        <v>360</v>
      </c>
      <c r="Q72" s="2">
        <f t="shared" si="10"/>
        <v>2360</v>
      </c>
      <c r="R72" s="7">
        <v>-0.18</v>
      </c>
      <c r="S72" s="49">
        <f t="shared" si="11"/>
        <v>2359.8200000000002</v>
      </c>
      <c r="T72" s="49">
        <v>2359.8200000000002</v>
      </c>
      <c r="U72" s="4">
        <f t="shared" si="12"/>
        <v>0</v>
      </c>
      <c r="V72" s="49">
        <v>2359.8200000000002</v>
      </c>
      <c r="W72" s="49">
        <f t="shared" si="13"/>
        <v>0</v>
      </c>
      <c r="X72" s="46"/>
    </row>
    <row r="73" spans="1:24" x14ac:dyDescent="0.25">
      <c r="A73" s="7">
        <v>72</v>
      </c>
      <c r="B73" s="48" t="s">
        <v>176</v>
      </c>
      <c r="C73" s="38" t="s">
        <v>177</v>
      </c>
      <c r="D73" s="38" t="s">
        <v>177</v>
      </c>
      <c r="E73" s="38" t="s">
        <v>178</v>
      </c>
      <c r="F73" s="38" t="s">
        <v>246</v>
      </c>
      <c r="G73" s="38" t="s">
        <v>3</v>
      </c>
      <c r="H73" s="7" t="s">
        <v>117</v>
      </c>
      <c r="I73" s="7">
        <v>1000</v>
      </c>
      <c r="J73" s="7">
        <v>1000</v>
      </c>
      <c r="K73" s="7">
        <v>2</v>
      </c>
      <c r="L73" s="7" t="s">
        <v>4</v>
      </c>
      <c r="M73" s="2">
        <f t="shared" si="7"/>
        <v>2000</v>
      </c>
      <c r="N73" s="7">
        <v>0</v>
      </c>
      <c r="O73" s="5">
        <f t="shared" si="8"/>
        <v>2000</v>
      </c>
      <c r="P73" s="4">
        <f t="shared" si="9"/>
        <v>360</v>
      </c>
      <c r="Q73" s="2">
        <f t="shared" si="10"/>
        <v>2360</v>
      </c>
      <c r="R73" s="7">
        <v>0.52</v>
      </c>
      <c r="S73" s="49">
        <f t="shared" si="11"/>
        <v>2360.52</v>
      </c>
      <c r="T73" s="49">
        <v>2360.52</v>
      </c>
      <c r="U73" s="4">
        <f t="shared" si="12"/>
        <v>0</v>
      </c>
      <c r="V73" s="49">
        <v>2360.52</v>
      </c>
      <c r="W73" s="49">
        <f t="shared" si="13"/>
        <v>0</v>
      </c>
      <c r="X73" s="46"/>
    </row>
    <row r="74" spans="1:24" x14ac:dyDescent="0.25">
      <c r="A74" s="7">
        <v>73</v>
      </c>
      <c r="B74" s="48" t="s">
        <v>147</v>
      </c>
      <c r="C74" s="38" t="s">
        <v>148</v>
      </c>
      <c r="D74" s="38" t="s">
        <v>148</v>
      </c>
      <c r="E74" s="38" t="s">
        <v>98</v>
      </c>
      <c r="F74" s="38" t="s">
        <v>237</v>
      </c>
      <c r="G74" s="38" t="s">
        <v>3</v>
      </c>
      <c r="H74" s="7" t="s">
        <v>117</v>
      </c>
      <c r="I74" s="7">
        <v>1000</v>
      </c>
      <c r="J74" s="7">
        <v>1156</v>
      </c>
      <c r="K74" s="7">
        <v>2</v>
      </c>
      <c r="L74" s="7" t="s">
        <v>4</v>
      </c>
      <c r="M74" s="2">
        <f t="shared" si="7"/>
        <v>2312</v>
      </c>
      <c r="N74" s="7">
        <v>0</v>
      </c>
      <c r="O74" s="5">
        <f t="shared" si="8"/>
        <v>2312</v>
      </c>
      <c r="P74" s="4">
        <f t="shared" si="9"/>
        <v>416.15999999999997</v>
      </c>
      <c r="Q74" s="2">
        <f t="shared" si="10"/>
        <v>2728.16</v>
      </c>
      <c r="R74" s="7">
        <v>-0.16</v>
      </c>
      <c r="S74" s="49">
        <f t="shared" si="11"/>
        <v>2728</v>
      </c>
      <c r="T74" s="49">
        <v>2728</v>
      </c>
      <c r="U74" s="4">
        <f t="shared" si="12"/>
        <v>0</v>
      </c>
      <c r="V74" s="49">
        <v>2728</v>
      </c>
      <c r="W74" s="49">
        <f t="shared" si="13"/>
        <v>0</v>
      </c>
      <c r="X74" s="46"/>
    </row>
    <row r="75" spans="1:24" x14ac:dyDescent="0.25">
      <c r="A75" s="7">
        <v>74</v>
      </c>
      <c r="B75" s="48" t="s">
        <v>158</v>
      </c>
      <c r="C75" s="38" t="s">
        <v>19</v>
      </c>
      <c r="D75" s="38" t="s">
        <v>19</v>
      </c>
      <c r="E75" s="38" t="s">
        <v>18</v>
      </c>
      <c r="F75" s="38" t="s">
        <v>236</v>
      </c>
      <c r="G75" s="38" t="s">
        <v>3</v>
      </c>
      <c r="H75" s="7" t="s">
        <v>117</v>
      </c>
      <c r="I75" s="7">
        <v>1000</v>
      </c>
      <c r="J75" s="7">
        <v>1000</v>
      </c>
      <c r="K75" s="7">
        <v>1</v>
      </c>
      <c r="L75" s="7" t="s">
        <v>4</v>
      </c>
      <c r="M75" s="2">
        <f t="shared" si="7"/>
        <v>1000</v>
      </c>
      <c r="N75" s="7">
        <v>0</v>
      </c>
      <c r="O75" s="5">
        <f t="shared" si="8"/>
        <v>1000</v>
      </c>
      <c r="P75" s="4">
        <f t="shared" si="9"/>
        <v>180</v>
      </c>
      <c r="Q75" s="2">
        <f t="shared" si="10"/>
        <v>1180</v>
      </c>
      <c r="R75" s="7">
        <v>40</v>
      </c>
      <c r="S75" s="49">
        <f t="shared" si="11"/>
        <v>1220</v>
      </c>
      <c r="T75" s="49">
        <v>1220</v>
      </c>
      <c r="U75" s="4">
        <f t="shared" si="12"/>
        <v>0</v>
      </c>
      <c r="V75" s="49">
        <v>1220</v>
      </c>
      <c r="W75" s="49">
        <f t="shared" si="13"/>
        <v>0</v>
      </c>
      <c r="X75" s="46"/>
    </row>
    <row r="76" spans="1:24" x14ac:dyDescent="0.25">
      <c r="A76" s="7">
        <v>75</v>
      </c>
      <c r="B76" s="48" t="s">
        <v>320</v>
      </c>
      <c r="C76" s="38" t="s">
        <v>279</v>
      </c>
      <c r="D76" s="38" t="s">
        <v>321</v>
      </c>
      <c r="E76" s="38" t="s">
        <v>280</v>
      </c>
      <c r="F76" s="38" t="s">
        <v>239</v>
      </c>
      <c r="G76" s="38" t="s">
        <v>3</v>
      </c>
      <c r="H76" s="7" t="s">
        <v>117</v>
      </c>
      <c r="I76" s="7">
        <v>1000</v>
      </c>
      <c r="J76" s="7">
        <v>1076</v>
      </c>
      <c r="K76" s="7">
        <v>2</v>
      </c>
      <c r="L76" s="7" t="s">
        <v>4</v>
      </c>
      <c r="M76" s="2">
        <f t="shared" si="7"/>
        <v>2152</v>
      </c>
      <c r="N76" s="7">
        <v>0</v>
      </c>
      <c r="O76" s="5">
        <f t="shared" si="8"/>
        <v>2152</v>
      </c>
      <c r="P76" s="4">
        <f t="shared" si="9"/>
        <v>387.36</v>
      </c>
      <c r="Q76" s="2">
        <f t="shared" si="10"/>
        <v>2539.36</v>
      </c>
      <c r="R76" s="7">
        <v>0.54</v>
      </c>
      <c r="S76" s="49">
        <f t="shared" si="11"/>
        <v>2539.9</v>
      </c>
      <c r="T76" s="49">
        <v>2539.9</v>
      </c>
      <c r="U76" s="4">
        <f t="shared" si="12"/>
        <v>0</v>
      </c>
      <c r="V76" s="49">
        <v>2539.9</v>
      </c>
      <c r="W76" s="49">
        <f t="shared" si="13"/>
        <v>0</v>
      </c>
      <c r="X76" s="46"/>
    </row>
    <row r="77" spans="1:24" x14ac:dyDescent="0.25">
      <c r="A77" s="7">
        <v>76</v>
      </c>
      <c r="B77" s="48" t="s">
        <v>26</v>
      </c>
      <c r="C77" s="38" t="s">
        <v>279</v>
      </c>
      <c r="D77" s="38" t="s">
        <v>198</v>
      </c>
      <c r="E77" s="38" t="s">
        <v>280</v>
      </c>
      <c r="F77" s="38" t="s">
        <v>239</v>
      </c>
      <c r="G77" s="38" t="s">
        <v>3</v>
      </c>
      <c r="H77" s="7" t="s">
        <v>117</v>
      </c>
      <c r="I77" s="7">
        <v>1000</v>
      </c>
      <c r="J77" s="7">
        <v>1000</v>
      </c>
      <c r="K77" s="7">
        <v>2</v>
      </c>
      <c r="L77" s="7" t="s">
        <v>4</v>
      </c>
      <c r="M77" s="2">
        <f t="shared" si="7"/>
        <v>2000</v>
      </c>
      <c r="N77" s="7">
        <v>0</v>
      </c>
      <c r="O77" s="5">
        <f t="shared" si="8"/>
        <v>2000</v>
      </c>
      <c r="P77" s="4">
        <f t="shared" si="9"/>
        <v>360</v>
      </c>
      <c r="Q77" s="2">
        <f t="shared" si="10"/>
        <v>2360</v>
      </c>
      <c r="R77" s="7">
        <v>0.54</v>
      </c>
      <c r="S77" s="49">
        <f t="shared" si="11"/>
        <v>2360.54</v>
      </c>
      <c r="T77" s="49">
        <v>2360.54</v>
      </c>
      <c r="U77" s="4">
        <f t="shared" si="12"/>
        <v>0</v>
      </c>
      <c r="V77" s="49">
        <v>2360.54</v>
      </c>
      <c r="W77" s="49">
        <f t="shared" si="13"/>
        <v>0</v>
      </c>
      <c r="X77" s="46"/>
    </row>
    <row r="78" spans="1:24" x14ac:dyDescent="0.25">
      <c r="A78" s="7">
        <v>77</v>
      </c>
      <c r="B78" s="48" t="s">
        <v>395</v>
      </c>
      <c r="C78" s="38" t="s">
        <v>396</v>
      </c>
      <c r="D78" s="38" t="s">
        <v>396</v>
      </c>
      <c r="E78" s="38" t="s">
        <v>406</v>
      </c>
      <c r="F78" s="38" t="s">
        <v>242</v>
      </c>
      <c r="G78" s="38" t="s">
        <v>3</v>
      </c>
      <c r="H78" s="7" t="s">
        <v>117</v>
      </c>
      <c r="I78" s="7">
        <v>500</v>
      </c>
      <c r="J78" s="7">
        <v>500</v>
      </c>
      <c r="K78" s="7">
        <v>1.5</v>
      </c>
      <c r="L78" s="7" t="s">
        <v>4</v>
      </c>
      <c r="M78" s="2">
        <f t="shared" si="7"/>
        <v>750</v>
      </c>
      <c r="N78" s="7">
        <v>0</v>
      </c>
      <c r="O78" s="5">
        <f t="shared" si="8"/>
        <v>750</v>
      </c>
      <c r="P78" s="4">
        <f t="shared" si="9"/>
        <v>135</v>
      </c>
      <c r="Q78" s="2">
        <f t="shared" si="10"/>
        <v>885</v>
      </c>
      <c r="R78" s="7">
        <v>-0.05</v>
      </c>
      <c r="S78" s="49">
        <f t="shared" si="11"/>
        <v>884.95</v>
      </c>
      <c r="T78" s="49">
        <v>884.95</v>
      </c>
      <c r="U78" s="4">
        <f t="shared" si="12"/>
        <v>0</v>
      </c>
      <c r="V78" s="49">
        <v>884.95</v>
      </c>
      <c r="W78" s="49">
        <f t="shared" si="13"/>
        <v>0</v>
      </c>
      <c r="X78" s="46"/>
    </row>
    <row r="79" spans="1:24" x14ac:dyDescent="0.25">
      <c r="A79" s="7">
        <v>78</v>
      </c>
      <c r="B79" s="48" t="s">
        <v>174</v>
      </c>
      <c r="C79" s="38" t="s">
        <v>244</v>
      </c>
      <c r="D79" s="38" t="s">
        <v>175</v>
      </c>
      <c r="E79" s="38" t="s">
        <v>64</v>
      </c>
      <c r="F79" s="38" t="s">
        <v>237</v>
      </c>
      <c r="G79" s="38" t="s">
        <v>3</v>
      </c>
      <c r="H79" s="7" t="s">
        <v>117</v>
      </c>
      <c r="I79" s="7">
        <v>1000</v>
      </c>
      <c r="J79" s="7">
        <v>1570</v>
      </c>
      <c r="K79" s="7">
        <v>2</v>
      </c>
      <c r="L79" s="7" t="s">
        <v>4</v>
      </c>
      <c r="M79" s="2">
        <f t="shared" si="7"/>
        <v>3140</v>
      </c>
      <c r="N79" s="7">
        <v>0</v>
      </c>
      <c r="O79" s="5">
        <f t="shared" si="8"/>
        <v>3140</v>
      </c>
      <c r="P79" s="4">
        <f t="shared" si="9"/>
        <v>565.19999999999993</v>
      </c>
      <c r="Q79" s="2">
        <f t="shared" si="10"/>
        <v>3705.2</v>
      </c>
      <c r="R79" s="7">
        <v>0</v>
      </c>
      <c r="S79" s="49">
        <f t="shared" si="11"/>
        <v>3705.2</v>
      </c>
      <c r="T79" s="49">
        <v>3705.2</v>
      </c>
      <c r="U79" s="4">
        <f t="shared" si="12"/>
        <v>0</v>
      </c>
      <c r="V79" s="49">
        <v>3705.2</v>
      </c>
      <c r="W79" s="49">
        <f t="shared" si="13"/>
        <v>0</v>
      </c>
      <c r="X79" s="46"/>
    </row>
    <row r="80" spans="1:24" x14ac:dyDescent="0.25">
      <c r="A80" s="7">
        <v>79</v>
      </c>
      <c r="B80" s="48" t="s">
        <v>45</v>
      </c>
      <c r="C80" s="38" t="s">
        <v>46</v>
      </c>
      <c r="D80" s="38" t="s">
        <v>46</v>
      </c>
      <c r="E80" s="38" t="s">
        <v>44</v>
      </c>
      <c r="F80" s="38" t="s">
        <v>248</v>
      </c>
      <c r="G80" s="38" t="s">
        <v>3</v>
      </c>
      <c r="H80" s="7" t="s">
        <v>117</v>
      </c>
      <c r="I80" s="7">
        <v>1000</v>
      </c>
      <c r="J80" s="7">
        <v>1813</v>
      </c>
      <c r="K80" s="7">
        <v>2</v>
      </c>
      <c r="L80" s="7" t="s">
        <v>4</v>
      </c>
      <c r="M80" s="2">
        <f t="shared" si="7"/>
        <v>3626</v>
      </c>
      <c r="N80" s="7">
        <v>0</v>
      </c>
      <c r="O80" s="5">
        <f t="shared" si="8"/>
        <v>3626</v>
      </c>
      <c r="P80" s="4">
        <f t="shared" si="9"/>
        <v>652.67999999999995</v>
      </c>
      <c r="Q80" s="2">
        <f t="shared" si="10"/>
        <v>4278.68</v>
      </c>
      <c r="R80" s="7">
        <v>0</v>
      </c>
      <c r="S80" s="49">
        <f t="shared" si="11"/>
        <v>4278.68</v>
      </c>
      <c r="T80" s="49">
        <v>4278.68</v>
      </c>
      <c r="U80" s="4">
        <f t="shared" si="12"/>
        <v>0</v>
      </c>
      <c r="V80" s="49">
        <v>4278.68</v>
      </c>
      <c r="W80" s="49">
        <f t="shared" si="13"/>
        <v>0</v>
      </c>
      <c r="X80" s="46"/>
    </row>
    <row r="81" spans="1:24" x14ac:dyDescent="0.25">
      <c r="A81" s="7">
        <v>80</v>
      </c>
      <c r="B81" s="48" t="s">
        <v>73</v>
      </c>
      <c r="C81" s="38" t="s">
        <v>74</v>
      </c>
      <c r="D81" s="38" t="s">
        <v>74</v>
      </c>
      <c r="E81" s="38" t="s">
        <v>219</v>
      </c>
      <c r="F81" s="38" t="s">
        <v>237</v>
      </c>
      <c r="G81" s="38" t="s">
        <v>3</v>
      </c>
      <c r="H81" s="7" t="s">
        <v>117</v>
      </c>
      <c r="I81" s="7">
        <v>1000</v>
      </c>
      <c r="J81" s="7">
        <v>1000</v>
      </c>
      <c r="K81" s="7">
        <v>2</v>
      </c>
      <c r="L81" s="7" t="s">
        <v>4</v>
      </c>
      <c r="M81" s="2">
        <f t="shared" si="7"/>
        <v>2000</v>
      </c>
      <c r="N81" s="7">
        <v>0</v>
      </c>
      <c r="O81" s="5">
        <f t="shared" si="8"/>
        <v>2000</v>
      </c>
      <c r="P81" s="4">
        <f t="shared" si="9"/>
        <v>360</v>
      </c>
      <c r="Q81" s="2">
        <f t="shared" si="10"/>
        <v>2360</v>
      </c>
      <c r="R81" s="7">
        <v>0</v>
      </c>
      <c r="S81" s="49">
        <f t="shared" si="11"/>
        <v>2360</v>
      </c>
      <c r="T81" s="49">
        <v>2360</v>
      </c>
      <c r="U81" s="4">
        <f t="shared" si="12"/>
        <v>0</v>
      </c>
      <c r="V81" s="49">
        <v>2360</v>
      </c>
      <c r="W81" s="49">
        <f t="shared" si="13"/>
        <v>0</v>
      </c>
      <c r="X81" s="46"/>
    </row>
    <row r="82" spans="1:24" x14ac:dyDescent="0.25">
      <c r="A82" s="7">
        <v>81</v>
      </c>
      <c r="B82" s="48" t="s">
        <v>335</v>
      </c>
      <c r="C82" s="38" t="s">
        <v>336</v>
      </c>
      <c r="D82" s="38" t="s">
        <v>337</v>
      </c>
      <c r="E82" s="38" t="s">
        <v>338</v>
      </c>
      <c r="F82" s="38" t="s">
        <v>249</v>
      </c>
      <c r="G82" s="38" t="s">
        <v>3</v>
      </c>
      <c r="H82" s="7" t="s">
        <v>117</v>
      </c>
      <c r="I82" s="7">
        <v>1000</v>
      </c>
      <c r="J82" s="7">
        <v>1000</v>
      </c>
      <c r="K82" s="7">
        <v>1</v>
      </c>
      <c r="L82" s="7" t="s">
        <v>4</v>
      </c>
      <c r="M82" s="2">
        <f t="shared" si="7"/>
        <v>1000</v>
      </c>
      <c r="N82" s="7">
        <v>0</v>
      </c>
      <c r="O82" s="5">
        <f t="shared" si="8"/>
        <v>1000</v>
      </c>
      <c r="P82" s="4">
        <f t="shared" si="9"/>
        <v>180</v>
      </c>
      <c r="Q82" s="2">
        <f t="shared" si="10"/>
        <v>1180</v>
      </c>
      <c r="R82" s="7">
        <v>0.1</v>
      </c>
      <c r="S82" s="49">
        <f t="shared" si="11"/>
        <v>1180.0999999999999</v>
      </c>
      <c r="T82" s="49">
        <v>1180.0999999999999</v>
      </c>
      <c r="U82" s="4">
        <f t="shared" si="12"/>
        <v>0</v>
      </c>
      <c r="V82" s="49">
        <v>1180.0999999999999</v>
      </c>
      <c r="W82" s="49">
        <f t="shared" si="13"/>
        <v>0</v>
      </c>
      <c r="X82" s="46"/>
    </row>
    <row r="83" spans="1:24" x14ac:dyDescent="0.25">
      <c r="A83" s="7">
        <v>82</v>
      </c>
      <c r="B83" s="48" t="s">
        <v>179</v>
      </c>
      <c r="C83" s="38" t="s">
        <v>85</v>
      </c>
      <c r="D83" s="38" t="s">
        <v>85</v>
      </c>
      <c r="E83" s="38" t="s">
        <v>84</v>
      </c>
      <c r="F83" s="38" t="s">
        <v>246</v>
      </c>
      <c r="G83" s="38" t="s">
        <v>3</v>
      </c>
      <c r="H83" s="7" t="s">
        <v>117</v>
      </c>
      <c r="I83" s="7">
        <v>1000</v>
      </c>
      <c r="J83" s="7">
        <v>1000</v>
      </c>
      <c r="K83" s="7">
        <v>2</v>
      </c>
      <c r="L83" s="7" t="s">
        <v>4</v>
      </c>
      <c r="M83" s="2">
        <f t="shared" si="7"/>
        <v>2000</v>
      </c>
      <c r="N83" s="7">
        <v>0</v>
      </c>
      <c r="O83" s="5">
        <f t="shared" si="8"/>
        <v>2000</v>
      </c>
      <c r="P83" s="4">
        <f t="shared" si="9"/>
        <v>360</v>
      </c>
      <c r="Q83" s="2">
        <f t="shared" si="10"/>
        <v>2360</v>
      </c>
      <c r="R83" s="7">
        <v>0</v>
      </c>
      <c r="S83" s="49">
        <f t="shared" si="11"/>
        <v>2360</v>
      </c>
      <c r="T83" s="49">
        <v>2360</v>
      </c>
      <c r="U83" s="4">
        <f t="shared" si="12"/>
        <v>0</v>
      </c>
      <c r="V83" s="49">
        <v>2360</v>
      </c>
      <c r="W83" s="49">
        <f t="shared" si="13"/>
        <v>0</v>
      </c>
      <c r="X83" s="46"/>
    </row>
    <row r="84" spans="1:24" x14ac:dyDescent="0.25">
      <c r="A84" s="7">
        <v>83</v>
      </c>
      <c r="B84" s="48" t="s">
        <v>272</v>
      </c>
      <c r="C84" s="38" t="s">
        <v>273</v>
      </c>
      <c r="D84" s="38" t="s">
        <v>274</v>
      </c>
      <c r="E84" s="38" t="s">
        <v>357</v>
      </c>
      <c r="F84" s="38" t="s">
        <v>236</v>
      </c>
      <c r="G84" s="38" t="s">
        <v>3</v>
      </c>
      <c r="H84" s="7" t="s">
        <v>117</v>
      </c>
      <c r="I84" s="7">
        <v>10000</v>
      </c>
      <c r="J84" s="7">
        <v>10000</v>
      </c>
      <c r="K84" s="7">
        <v>1</v>
      </c>
      <c r="L84" s="7" t="s">
        <v>4</v>
      </c>
      <c r="M84" s="2">
        <f t="shared" si="7"/>
        <v>10000</v>
      </c>
      <c r="N84" s="7">
        <v>0</v>
      </c>
      <c r="O84" s="5">
        <f t="shared" si="8"/>
        <v>10000</v>
      </c>
      <c r="P84" s="4">
        <f t="shared" si="9"/>
        <v>1800</v>
      </c>
      <c r="Q84" s="2">
        <f t="shared" si="10"/>
        <v>11800</v>
      </c>
      <c r="R84" s="7">
        <v>-0.28000000000000003</v>
      </c>
      <c r="S84" s="49">
        <f t="shared" si="11"/>
        <v>11799.72</v>
      </c>
      <c r="T84" s="49">
        <v>11799.72</v>
      </c>
      <c r="U84" s="4">
        <f t="shared" si="12"/>
        <v>0</v>
      </c>
      <c r="V84" s="49">
        <v>11799.72</v>
      </c>
      <c r="W84" s="49">
        <f t="shared" si="13"/>
        <v>0</v>
      </c>
      <c r="X84" s="46"/>
    </row>
    <row r="85" spans="1:24" x14ac:dyDescent="0.25">
      <c r="A85" s="7">
        <v>84</v>
      </c>
      <c r="B85" s="48" t="s">
        <v>231</v>
      </c>
      <c r="C85" s="38" t="s">
        <v>232</v>
      </c>
      <c r="D85" s="38" t="s">
        <v>232</v>
      </c>
      <c r="E85" s="38" t="s">
        <v>233</v>
      </c>
      <c r="F85" s="38" t="s">
        <v>250</v>
      </c>
      <c r="G85" s="38" t="s">
        <v>3</v>
      </c>
      <c r="H85" s="7" t="s">
        <v>117</v>
      </c>
      <c r="I85" s="7">
        <v>1000</v>
      </c>
      <c r="J85" s="7">
        <v>2612</v>
      </c>
      <c r="K85" s="7">
        <v>2</v>
      </c>
      <c r="L85" s="7" t="s">
        <v>4</v>
      </c>
      <c r="M85" s="2">
        <f t="shared" si="7"/>
        <v>5224</v>
      </c>
      <c r="N85" s="7">
        <v>0</v>
      </c>
      <c r="O85" s="5">
        <f t="shared" si="8"/>
        <v>5224</v>
      </c>
      <c r="P85" s="4">
        <f t="shared" si="9"/>
        <v>940.31999999999994</v>
      </c>
      <c r="Q85" s="2">
        <f t="shared" si="10"/>
        <v>6164.32</v>
      </c>
      <c r="R85" s="7">
        <v>-0.5</v>
      </c>
      <c r="S85" s="49">
        <f t="shared" si="11"/>
        <v>6163.82</v>
      </c>
      <c r="T85" s="49">
        <v>6163.82</v>
      </c>
      <c r="U85" s="4">
        <f t="shared" si="12"/>
        <v>0</v>
      </c>
      <c r="V85" s="49">
        <v>6163.82</v>
      </c>
      <c r="W85" s="49">
        <f t="shared" si="13"/>
        <v>0</v>
      </c>
      <c r="X85" s="46"/>
    </row>
    <row r="86" spans="1:24" x14ac:dyDescent="0.25">
      <c r="A86" s="7">
        <v>85</v>
      </c>
      <c r="B86" s="48" t="s">
        <v>161</v>
      </c>
      <c r="C86" s="38" t="s">
        <v>39</v>
      </c>
      <c r="D86" s="38" t="s">
        <v>39</v>
      </c>
      <c r="E86" s="38" t="s">
        <v>38</v>
      </c>
      <c r="F86" s="38" t="s">
        <v>246</v>
      </c>
      <c r="G86" s="38" t="s">
        <v>3</v>
      </c>
      <c r="H86" s="7" t="s">
        <v>117</v>
      </c>
      <c r="I86" s="7">
        <v>1000</v>
      </c>
      <c r="J86" s="7">
        <v>1855</v>
      </c>
      <c r="K86" s="7">
        <v>2</v>
      </c>
      <c r="L86" s="7" t="s">
        <v>4</v>
      </c>
      <c r="M86" s="2">
        <f t="shared" si="7"/>
        <v>3710</v>
      </c>
      <c r="N86" s="7">
        <v>0</v>
      </c>
      <c r="O86" s="5">
        <f t="shared" si="8"/>
        <v>3710</v>
      </c>
      <c r="P86" s="4">
        <f t="shared" si="9"/>
        <v>667.8</v>
      </c>
      <c r="Q86" s="2">
        <f t="shared" si="10"/>
        <v>4377.8</v>
      </c>
      <c r="R86" s="7">
        <v>0</v>
      </c>
      <c r="S86" s="49">
        <f t="shared" si="11"/>
        <v>4377.8</v>
      </c>
      <c r="T86" s="49">
        <v>4377.8</v>
      </c>
      <c r="U86" s="4">
        <f t="shared" si="12"/>
        <v>0</v>
      </c>
      <c r="V86" s="49">
        <v>4377.8</v>
      </c>
      <c r="W86" s="49">
        <f t="shared" si="13"/>
        <v>0</v>
      </c>
      <c r="X86" s="46"/>
    </row>
    <row r="87" spans="1:24" x14ac:dyDescent="0.25">
      <c r="A87" s="7">
        <v>86</v>
      </c>
      <c r="B87" s="48" t="s">
        <v>143</v>
      </c>
      <c r="C87" s="38" t="s">
        <v>144</v>
      </c>
      <c r="D87" s="38" t="s">
        <v>144</v>
      </c>
      <c r="E87" s="38" t="s">
        <v>145</v>
      </c>
      <c r="F87" s="38" t="s">
        <v>246</v>
      </c>
      <c r="G87" s="38" t="s">
        <v>3</v>
      </c>
      <c r="H87" s="7" t="s">
        <v>117</v>
      </c>
      <c r="I87" s="7">
        <v>1000</v>
      </c>
      <c r="J87" s="7">
        <v>1283</v>
      </c>
      <c r="K87" s="7">
        <v>2</v>
      </c>
      <c r="L87" s="7" t="s">
        <v>4</v>
      </c>
      <c r="M87" s="2">
        <f t="shared" si="7"/>
        <v>2566</v>
      </c>
      <c r="N87" s="7">
        <v>0</v>
      </c>
      <c r="O87" s="5">
        <f t="shared" si="8"/>
        <v>2566</v>
      </c>
      <c r="P87" s="4">
        <f t="shared" si="9"/>
        <v>461.88</v>
      </c>
      <c r="Q87" s="2">
        <f t="shared" si="10"/>
        <v>3027.88</v>
      </c>
      <c r="R87" s="7">
        <v>0.36</v>
      </c>
      <c r="S87" s="49">
        <f t="shared" si="11"/>
        <v>3028.2400000000002</v>
      </c>
      <c r="T87" s="49">
        <v>3028.24</v>
      </c>
      <c r="U87" s="4">
        <f t="shared" si="12"/>
        <v>0</v>
      </c>
      <c r="V87" s="49">
        <v>3028.24</v>
      </c>
      <c r="W87" s="49">
        <f t="shared" si="13"/>
        <v>0</v>
      </c>
      <c r="X87" s="46"/>
    </row>
    <row r="88" spans="1:24" x14ac:dyDescent="0.25">
      <c r="A88" s="7">
        <v>87</v>
      </c>
      <c r="B88" s="48" t="s">
        <v>91</v>
      </c>
      <c r="C88" s="38" t="s">
        <v>253</v>
      </c>
      <c r="D88" s="38" t="s">
        <v>139</v>
      </c>
      <c r="E88" s="38" t="s">
        <v>90</v>
      </c>
      <c r="F88" s="38" t="s">
        <v>246</v>
      </c>
      <c r="G88" s="38" t="s">
        <v>3</v>
      </c>
      <c r="H88" s="7" t="s">
        <v>117</v>
      </c>
      <c r="I88" s="7">
        <v>1000</v>
      </c>
      <c r="J88" s="7">
        <v>1000</v>
      </c>
      <c r="K88" s="7">
        <v>1</v>
      </c>
      <c r="L88" s="7" t="s">
        <v>4</v>
      </c>
      <c r="M88" s="2">
        <f t="shared" si="7"/>
        <v>1000</v>
      </c>
      <c r="N88" s="7">
        <v>0</v>
      </c>
      <c r="O88" s="5">
        <f t="shared" si="8"/>
        <v>1000</v>
      </c>
      <c r="P88" s="4">
        <f t="shared" si="9"/>
        <v>180</v>
      </c>
      <c r="Q88" s="2">
        <f t="shared" si="10"/>
        <v>1180</v>
      </c>
      <c r="R88" s="7">
        <v>0.32</v>
      </c>
      <c r="S88" s="49">
        <f t="shared" si="11"/>
        <v>1180.32</v>
      </c>
      <c r="T88" s="49">
        <v>1180.32</v>
      </c>
      <c r="U88" s="4">
        <f t="shared" si="12"/>
        <v>0</v>
      </c>
      <c r="V88" s="49">
        <v>1180.32</v>
      </c>
      <c r="W88" s="49">
        <f t="shared" si="13"/>
        <v>0</v>
      </c>
      <c r="X88" s="46"/>
    </row>
    <row r="89" spans="1:24" x14ac:dyDescent="0.25">
      <c r="A89" s="7">
        <v>88</v>
      </c>
      <c r="B89" s="48" t="s">
        <v>100</v>
      </c>
      <c r="C89" s="38" t="s">
        <v>101</v>
      </c>
      <c r="D89" s="38" t="s">
        <v>101</v>
      </c>
      <c r="E89" s="38" t="s">
        <v>99</v>
      </c>
      <c r="F89" s="38" t="s">
        <v>237</v>
      </c>
      <c r="G89" s="38" t="s">
        <v>3</v>
      </c>
      <c r="H89" s="7" t="s">
        <v>117</v>
      </c>
      <c r="I89" s="7">
        <v>1000</v>
      </c>
      <c r="J89" s="7">
        <v>1796</v>
      </c>
      <c r="K89" s="7">
        <v>2</v>
      </c>
      <c r="L89" s="7" t="s">
        <v>4</v>
      </c>
      <c r="M89" s="2">
        <f t="shared" si="7"/>
        <v>3592</v>
      </c>
      <c r="N89" s="7">
        <v>0</v>
      </c>
      <c r="O89" s="5">
        <f t="shared" si="8"/>
        <v>3592</v>
      </c>
      <c r="P89" s="4">
        <f t="shared" si="9"/>
        <v>646.55999999999995</v>
      </c>
      <c r="Q89" s="2">
        <f t="shared" si="10"/>
        <v>4238.5599999999995</v>
      </c>
      <c r="R89" s="7">
        <v>0.52</v>
      </c>
      <c r="S89" s="49">
        <f t="shared" si="11"/>
        <v>4239.08</v>
      </c>
      <c r="T89" s="49">
        <v>4239.08</v>
      </c>
      <c r="U89" s="4">
        <f t="shared" si="12"/>
        <v>0</v>
      </c>
      <c r="V89" s="49">
        <v>4239.08</v>
      </c>
      <c r="W89" s="49">
        <f t="shared" si="13"/>
        <v>0</v>
      </c>
      <c r="X89" s="46"/>
    </row>
    <row r="90" spans="1:24" x14ac:dyDescent="0.25">
      <c r="A90" s="7">
        <v>89</v>
      </c>
      <c r="B90" s="48" t="s">
        <v>95</v>
      </c>
      <c r="C90" s="38" t="s">
        <v>96</v>
      </c>
      <c r="D90" s="38" t="s">
        <v>163</v>
      </c>
      <c r="E90" s="38" t="s">
        <v>313</v>
      </c>
      <c r="F90" s="38" t="s">
        <v>246</v>
      </c>
      <c r="G90" s="38" t="s">
        <v>3</v>
      </c>
      <c r="H90" s="7" t="s">
        <v>117</v>
      </c>
      <c r="I90" s="7">
        <v>1000</v>
      </c>
      <c r="J90" s="7">
        <v>1000</v>
      </c>
      <c r="K90" s="7">
        <v>2</v>
      </c>
      <c r="L90" s="7" t="s">
        <v>4</v>
      </c>
      <c r="M90" s="2">
        <f t="shared" si="7"/>
        <v>2000</v>
      </c>
      <c r="N90" s="7">
        <v>0</v>
      </c>
      <c r="O90" s="5">
        <f t="shared" si="8"/>
        <v>2000</v>
      </c>
      <c r="P90" s="4">
        <f t="shared" si="9"/>
        <v>360</v>
      </c>
      <c r="Q90" s="2">
        <f t="shared" si="10"/>
        <v>2360</v>
      </c>
      <c r="R90" s="7">
        <v>-484.26</v>
      </c>
      <c r="S90" s="49">
        <f t="shared" si="11"/>
        <v>1875.74</v>
      </c>
      <c r="T90" s="49">
        <v>1875.74</v>
      </c>
      <c r="U90" s="4">
        <f t="shared" si="12"/>
        <v>0</v>
      </c>
      <c r="V90" s="49">
        <v>1875.74</v>
      </c>
      <c r="W90" s="49">
        <f t="shared" si="13"/>
        <v>0</v>
      </c>
      <c r="X90" s="46"/>
    </row>
    <row r="91" spans="1:24" x14ac:dyDescent="0.25">
      <c r="A91" s="7">
        <v>90</v>
      </c>
      <c r="B91" s="48" t="s">
        <v>171</v>
      </c>
      <c r="C91" s="38" t="s">
        <v>5</v>
      </c>
      <c r="D91" s="38" t="s">
        <v>5</v>
      </c>
      <c r="E91" s="38" t="s">
        <v>172</v>
      </c>
      <c r="F91" s="38" t="s">
        <v>239</v>
      </c>
      <c r="G91" s="38" t="s">
        <v>3</v>
      </c>
      <c r="H91" s="7" t="s">
        <v>117</v>
      </c>
      <c r="I91" s="7">
        <v>1000</v>
      </c>
      <c r="J91" s="7">
        <v>1066</v>
      </c>
      <c r="K91" s="7">
        <v>2</v>
      </c>
      <c r="L91" s="7" t="s">
        <v>4</v>
      </c>
      <c r="M91" s="2">
        <f t="shared" si="7"/>
        <v>2132</v>
      </c>
      <c r="N91" s="7">
        <v>0</v>
      </c>
      <c r="O91" s="5">
        <f t="shared" si="8"/>
        <v>2132</v>
      </c>
      <c r="P91" s="4">
        <f t="shared" si="9"/>
        <v>383.76</v>
      </c>
      <c r="Q91" s="2">
        <f t="shared" si="10"/>
        <v>2515.7600000000002</v>
      </c>
      <c r="R91" s="7">
        <v>0.42</v>
      </c>
      <c r="S91" s="49">
        <f t="shared" si="11"/>
        <v>2516.1800000000003</v>
      </c>
      <c r="T91" s="49">
        <v>2516.1799999999998</v>
      </c>
      <c r="U91" s="4">
        <f t="shared" si="12"/>
        <v>0</v>
      </c>
      <c r="V91" s="49">
        <v>2516.1799999999998</v>
      </c>
      <c r="W91" s="49">
        <f t="shared" si="13"/>
        <v>0</v>
      </c>
      <c r="X91" s="46"/>
    </row>
    <row r="92" spans="1:24" x14ac:dyDescent="0.25">
      <c r="A92" s="7">
        <v>91</v>
      </c>
      <c r="B92" s="48" t="s">
        <v>80</v>
      </c>
      <c r="C92" s="38" t="s">
        <v>414</v>
      </c>
      <c r="D92" s="38" t="s">
        <v>200</v>
      </c>
      <c r="E92" s="38" t="s">
        <v>295</v>
      </c>
      <c r="F92" s="38" t="s">
        <v>237</v>
      </c>
      <c r="G92" s="38" t="s">
        <v>3</v>
      </c>
      <c r="H92" s="7" t="s">
        <v>117</v>
      </c>
      <c r="I92" s="7">
        <v>1000</v>
      </c>
      <c r="J92" s="7">
        <v>1000</v>
      </c>
      <c r="K92" s="7">
        <v>1</v>
      </c>
      <c r="L92" s="7" t="s">
        <v>4</v>
      </c>
      <c r="M92" s="2">
        <f t="shared" si="7"/>
        <v>1000</v>
      </c>
      <c r="N92" s="7">
        <v>0</v>
      </c>
      <c r="O92" s="5">
        <f t="shared" si="8"/>
        <v>1000</v>
      </c>
      <c r="P92" s="4">
        <f t="shared" si="9"/>
        <v>180</v>
      </c>
      <c r="Q92" s="2">
        <f t="shared" si="10"/>
        <v>1180</v>
      </c>
      <c r="R92" s="7">
        <v>-7080.15</v>
      </c>
      <c r="S92" s="49">
        <f t="shared" si="11"/>
        <v>-5900.15</v>
      </c>
      <c r="T92" s="49">
        <v>-5900.15</v>
      </c>
      <c r="U92" s="4">
        <f t="shared" si="12"/>
        <v>0</v>
      </c>
      <c r="V92" s="49">
        <v>-5900.15</v>
      </c>
      <c r="W92" s="49">
        <f t="shared" si="13"/>
        <v>0</v>
      </c>
      <c r="X92" s="46"/>
    </row>
    <row r="93" spans="1:24" x14ac:dyDescent="0.25">
      <c r="A93" s="7">
        <v>92</v>
      </c>
      <c r="B93" s="48" t="s">
        <v>560</v>
      </c>
      <c r="C93" s="38" t="s">
        <v>562</v>
      </c>
      <c r="D93" s="38" t="s">
        <v>562</v>
      </c>
      <c r="E93" s="38" t="s">
        <v>561</v>
      </c>
      <c r="F93" s="38" t="s">
        <v>242</v>
      </c>
      <c r="G93" s="38" t="s">
        <v>3</v>
      </c>
      <c r="H93" s="7" t="s">
        <v>117</v>
      </c>
      <c r="I93" s="7">
        <v>500</v>
      </c>
      <c r="J93" s="7">
        <v>500</v>
      </c>
      <c r="K93" s="7">
        <v>2</v>
      </c>
      <c r="L93" s="7" t="s">
        <v>4</v>
      </c>
      <c r="M93" s="2">
        <f t="shared" si="7"/>
        <v>1000</v>
      </c>
      <c r="N93" s="7">
        <v>0</v>
      </c>
      <c r="O93" s="5">
        <f t="shared" si="8"/>
        <v>1000</v>
      </c>
      <c r="P93" s="4">
        <f t="shared" si="9"/>
        <v>180</v>
      </c>
      <c r="Q93" s="2">
        <f t="shared" si="10"/>
        <v>1180</v>
      </c>
      <c r="R93" s="7">
        <v>-3882.2</v>
      </c>
      <c r="S93" s="49">
        <f t="shared" si="11"/>
        <v>-2702.2</v>
      </c>
      <c r="T93" s="49">
        <v>-2702.2</v>
      </c>
      <c r="U93" s="4">
        <f t="shared" si="12"/>
        <v>0</v>
      </c>
      <c r="V93" s="49">
        <v>-2702.2</v>
      </c>
      <c r="W93" s="49">
        <f t="shared" si="13"/>
        <v>0</v>
      </c>
      <c r="X93" s="46"/>
    </row>
    <row r="94" spans="1:24" x14ac:dyDescent="0.25">
      <c r="A94" s="7">
        <v>93</v>
      </c>
      <c r="B94" s="48" t="s">
        <v>591</v>
      </c>
      <c r="C94" s="38" t="s">
        <v>592</v>
      </c>
      <c r="D94" s="38" t="s">
        <v>592</v>
      </c>
      <c r="E94" s="38" t="s">
        <v>593</v>
      </c>
      <c r="F94" s="38" t="s">
        <v>246</v>
      </c>
      <c r="G94" s="38" t="s">
        <v>3</v>
      </c>
      <c r="H94" s="7" t="s">
        <v>307</v>
      </c>
      <c r="I94" s="7">
        <v>1000</v>
      </c>
      <c r="J94" s="7">
        <v>1000</v>
      </c>
      <c r="K94" s="7">
        <v>1</v>
      </c>
      <c r="L94" s="7" t="s">
        <v>4</v>
      </c>
      <c r="M94" s="2">
        <f t="shared" si="7"/>
        <v>1000</v>
      </c>
      <c r="N94" s="7">
        <v>0</v>
      </c>
      <c r="O94" s="5">
        <f t="shared" si="8"/>
        <v>1000</v>
      </c>
      <c r="P94" s="4">
        <f t="shared" si="9"/>
        <v>180</v>
      </c>
      <c r="Q94" s="2">
        <f t="shared" si="10"/>
        <v>1180</v>
      </c>
      <c r="R94" s="7">
        <v>-2360</v>
      </c>
      <c r="S94" s="49">
        <f t="shared" si="11"/>
        <v>-1180</v>
      </c>
      <c r="T94" s="49">
        <v>-1180</v>
      </c>
      <c r="U94" s="4">
        <f t="shared" si="12"/>
        <v>0</v>
      </c>
      <c r="V94" s="49">
        <v>-1180</v>
      </c>
      <c r="W94" s="49">
        <f t="shared" si="13"/>
        <v>0</v>
      </c>
      <c r="X94" s="46"/>
    </row>
    <row r="95" spans="1:24" x14ac:dyDescent="0.25">
      <c r="A95" s="7">
        <v>94</v>
      </c>
      <c r="B95" s="48" t="s">
        <v>637</v>
      </c>
      <c r="C95" s="38" t="s">
        <v>638</v>
      </c>
      <c r="D95" s="38" t="s">
        <v>638</v>
      </c>
      <c r="E95" s="38" t="s">
        <v>639</v>
      </c>
      <c r="F95" s="38" t="s">
        <v>237</v>
      </c>
      <c r="G95" s="38" t="s">
        <v>3</v>
      </c>
      <c r="H95" s="7" t="s">
        <v>117</v>
      </c>
      <c r="I95" s="7">
        <v>1000</v>
      </c>
      <c r="J95" s="7">
        <v>1000</v>
      </c>
      <c r="K95" s="7">
        <v>1</v>
      </c>
      <c r="L95" s="7" t="s">
        <v>4</v>
      </c>
      <c r="M95" s="2">
        <f t="shared" si="7"/>
        <v>1000</v>
      </c>
      <c r="N95" s="7">
        <v>0</v>
      </c>
      <c r="O95" s="5">
        <f t="shared" si="8"/>
        <v>1000</v>
      </c>
      <c r="P95" s="4">
        <f t="shared" si="9"/>
        <v>180</v>
      </c>
      <c r="Q95" s="2">
        <f t="shared" si="10"/>
        <v>1180</v>
      </c>
      <c r="R95" s="7">
        <v>-1419.9</v>
      </c>
      <c r="S95" s="49">
        <f t="shared" si="11"/>
        <v>-239.90000000000009</v>
      </c>
      <c r="T95" s="49">
        <v>-239.9</v>
      </c>
      <c r="U95" s="4">
        <f t="shared" si="12"/>
        <v>0</v>
      </c>
      <c r="V95" s="49">
        <v>-239.9</v>
      </c>
      <c r="W95" s="49">
        <f t="shared" si="13"/>
        <v>0</v>
      </c>
      <c r="X95" s="46"/>
    </row>
    <row r="96" spans="1:24" x14ac:dyDescent="0.25">
      <c r="A96" s="7">
        <v>95</v>
      </c>
      <c r="B96" s="48" t="s">
        <v>597</v>
      </c>
      <c r="C96" s="38" t="s">
        <v>598</v>
      </c>
      <c r="D96" s="38" t="s">
        <v>598</v>
      </c>
      <c r="E96" s="38" t="s">
        <v>599</v>
      </c>
      <c r="F96" s="38" t="s">
        <v>242</v>
      </c>
      <c r="G96" s="38" t="s">
        <v>3</v>
      </c>
      <c r="H96" s="7" t="s">
        <v>117</v>
      </c>
      <c r="I96" s="7">
        <v>500</v>
      </c>
      <c r="J96" s="7">
        <v>500</v>
      </c>
      <c r="K96" s="7">
        <v>1.5</v>
      </c>
      <c r="L96" s="7" t="s">
        <v>4</v>
      </c>
      <c r="M96" s="2">
        <f t="shared" si="7"/>
        <v>750</v>
      </c>
      <c r="N96" s="7">
        <v>0</v>
      </c>
      <c r="O96" s="5">
        <f t="shared" si="8"/>
        <v>750</v>
      </c>
      <c r="P96" s="4">
        <f t="shared" si="9"/>
        <v>135</v>
      </c>
      <c r="Q96" s="2">
        <f t="shared" si="10"/>
        <v>885</v>
      </c>
      <c r="R96" s="7">
        <v>-1792.81</v>
      </c>
      <c r="S96" s="49">
        <f t="shared" si="11"/>
        <v>-907.81</v>
      </c>
      <c r="T96" s="49">
        <v>-907.81</v>
      </c>
      <c r="U96" s="4">
        <f t="shared" si="12"/>
        <v>0</v>
      </c>
      <c r="V96" s="49">
        <v>-907.81</v>
      </c>
      <c r="W96" s="49">
        <f t="shared" si="13"/>
        <v>0</v>
      </c>
      <c r="X96" s="46"/>
    </row>
    <row r="97" spans="1:24" x14ac:dyDescent="0.25">
      <c r="A97" s="7">
        <v>96</v>
      </c>
      <c r="B97" s="48" t="s">
        <v>289</v>
      </c>
      <c r="C97" s="38" t="s">
        <v>301</v>
      </c>
      <c r="D97" s="38" t="s">
        <v>293</v>
      </c>
      <c r="E97" s="38" t="s">
        <v>294</v>
      </c>
      <c r="F97" s="38" t="s">
        <v>251</v>
      </c>
      <c r="G97" s="38" t="s">
        <v>3</v>
      </c>
      <c r="H97" s="7" t="s">
        <v>117</v>
      </c>
      <c r="I97" s="7">
        <v>1000</v>
      </c>
      <c r="J97" s="7">
        <v>1000</v>
      </c>
      <c r="K97" s="7">
        <v>1</v>
      </c>
      <c r="L97" s="7" t="s">
        <v>4</v>
      </c>
      <c r="M97" s="2">
        <f t="shared" si="7"/>
        <v>1000</v>
      </c>
      <c r="N97" s="7">
        <v>0</v>
      </c>
      <c r="O97" s="5">
        <f t="shared" si="8"/>
        <v>1000</v>
      </c>
      <c r="P97" s="4">
        <f t="shared" si="9"/>
        <v>180</v>
      </c>
      <c r="Q97" s="2">
        <f t="shared" si="10"/>
        <v>1180</v>
      </c>
      <c r="R97" s="7">
        <v>0.38</v>
      </c>
      <c r="S97" s="49">
        <f t="shared" si="11"/>
        <v>1180.3800000000001</v>
      </c>
      <c r="T97" s="49">
        <v>1180.3800000000001</v>
      </c>
      <c r="U97" s="4">
        <f t="shared" si="12"/>
        <v>0</v>
      </c>
      <c r="V97" s="49">
        <v>1180.3800000000001</v>
      </c>
      <c r="W97" s="49">
        <f t="shared" si="13"/>
        <v>0</v>
      </c>
      <c r="X97" s="46"/>
    </row>
    <row r="98" spans="1:24" x14ac:dyDescent="0.25">
      <c r="A98" s="7">
        <v>97</v>
      </c>
      <c r="B98" s="48" t="s">
        <v>384</v>
      </c>
      <c r="C98" s="38" t="s">
        <v>385</v>
      </c>
      <c r="D98" s="38" t="s">
        <v>386</v>
      </c>
      <c r="E98" s="38" t="s">
        <v>387</v>
      </c>
      <c r="F98" s="38" t="s">
        <v>237</v>
      </c>
      <c r="G98" s="38" t="s">
        <v>3</v>
      </c>
      <c r="H98" s="7" t="s">
        <v>117</v>
      </c>
      <c r="I98" s="7">
        <v>1000</v>
      </c>
      <c r="J98" s="7">
        <v>1386</v>
      </c>
      <c r="K98" s="7">
        <v>2</v>
      </c>
      <c r="L98" s="7" t="s">
        <v>4</v>
      </c>
      <c r="M98" s="2">
        <f t="shared" si="7"/>
        <v>2772</v>
      </c>
      <c r="N98" s="7">
        <v>0</v>
      </c>
      <c r="O98" s="5">
        <f t="shared" si="8"/>
        <v>2772</v>
      </c>
      <c r="P98" s="4">
        <f t="shared" si="9"/>
        <v>498.96</v>
      </c>
      <c r="Q98" s="2">
        <f t="shared" si="10"/>
        <v>3270.96</v>
      </c>
      <c r="R98" s="7">
        <v>-7510.37</v>
      </c>
      <c r="S98" s="49">
        <f t="shared" si="11"/>
        <v>-4239.41</v>
      </c>
      <c r="T98" s="49">
        <v>-4239.41</v>
      </c>
      <c r="U98" s="4">
        <f t="shared" si="12"/>
        <v>0</v>
      </c>
      <c r="V98" s="49">
        <v>-4239.41</v>
      </c>
      <c r="W98" s="49">
        <f t="shared" si="13"/>
        <v>0</v>
      </c>
      <c r="X98" s="46"/>
    </row>
    <row r="99" spans="1:24" x14ac:dyDescent="0.25">
      <c r="A99" s="7">
        <v>98</v>
      </c>
      <c r="B99" s="48" t="s">
        <v>426</v>
      </c>
      <c r="C99" s="38" t="s">
        <v>427</v>
      </c>
      <c r="D99" s="38" t="s">
        <v>428</v>
      </c>
      <c r="E99" s="38" t="s">
        <v>429</v>
      </c>
      <c r="F99" s="38" t="s">
        <v>237</v>
      </c>
      <c r="G99" s="38" t="s">
        <v>3</v>
      </c>
      <c r="H99" s="7" t="s">
        <v>307</v>
      </c>
      <c r="I99" s="7">
        <v>500</v>
      </c>
      <c r="J99" s="7">
        <v>500</v>
      </c>
      <c r="K99" s="7">
        <v>3</v>
      </c>
      <c r="L99" s="7" t="s">
        <v>4</v>
      </c>
      <c r="M99" s="2">
        <f t="shared" si="7"/>
        <v>1500</v>
      </c>
      <c r="N99" s="7">
        <v>0</v>
      </c>
      <c r="O99" s="5">
        <f t="shared" si="8"/>
        <v>1500</v>
      </c>
      <c r="P99" s="4">
        <f t="shared" si="9"/>
        <v>270</v>
      </c>
      <c r="Q99" s="2">
        <f t="shared" si="10"/>
        <v>1770</v>
      </c>
      <c r="R99" s="7">
        <v>-2990</v>
      </c>
      <c r="S99" s="49">
        <f t="shared" si="11"/>
        <v>-1220</v>
      </c>
      <c r="T99" s="49">
        <v>-1220</v>
      </c>
      <c r="U99" s="4">
        <f t="shared" si="12"/>
        <v>0</v>
      </c>
      <c r="V99" s="49">
        <v>-1220</v>
      </c>
      <c r="W99" s="49">
        <f t="shared" si="13"/>
        <v>0</v>
      </c>
      <c r="X99" s="46"/>
    </row>
    <row r="100" spans="1:24" x14ac:dyDescent="0.25">
      <c r="A100" s="7">
        <v>99</v>
      </c>
      <c r="B100" s="48" t="s">
        <v>454</v>
      </c>
      <c r="C100" s="38" t="s">
        <v>455</v>
      </c>
      <c r="D100" s="38" t="s">
        <v>455</v>
      </c>
      <c r="E100" s="38" t="s">
        <v>456</v>
      </c>
      <c r="F100" s="38" t="s">
        <v>237</v>
      </c>
      <c r="G100" s="38" t="s">
        <v>3</v>
      </c>
      <c r="H100" s="7" t="s">
        <v>117</v>
      </c>
      <c r="I100" s="7">
        <v>800</v>
      </c>
      <c r="J100" s="7">
        <v>800</v>
      </c>
      <c r="K100" s="7">
        <v>2</v>
      </c>
      <c r="L100" s="7" t="s">
        <v>4</v>
      </c>
      <c r="M100" s="2">
        <f t="shared" si="7"/>
        <v>1600</v>
      </c>
      <c r="N100" s="7">
        <v>0</v>
      </c>
      <c r="O100" s="5">
        <f t="shared" si="8"/>
        <v>1600</v>
      </c>
      <c r="P100" s="4">
        <f t="shared" si="9"/>
        <v>288</v>
      </c>
      <c r="Q100" s="2">
        <f t="shared" si="10"/>
        <v>1888</v>
      </c>
      <c r="R100" s="7">
        <v>-5663.52</v>
      </c>
      <c r="S100" s="49">
        <f t="shared" si="11"/>
        <v>-3775.5200000000004</v>
      </c>
      <c r="T100" s="49">
        <v>-3775.52</v>
      </c>
      <c r="U100" s="4">
        <f t="shared" si="12"/>
        <v>0</v>
      </c>
      <c r="V100" s="49">
        <v>-3775.52</v>
      </c>
      <c r="W100" s="49">
        <f t="shared" si="13"/>
        <v>0</v>
      </c>
      <c r="X100" s="46"/>
    </row>
    <row r="101" spans="1:24" x14ac:dyDescent="0.25">
      <c r="A101" s="7">
        <v>100</v>
      </c>
      <c r="B101" s="48" t="s">
        <v>459</v>
      </c>
      <c r="C101" s="38" t="s">
        <v>460</v>
      </c>
      <c r="D101" s="38" t="s">
        <v>460</v>
      </c>
      <c r="E101" s="38" t="s">
        <v>461</v>
      </c>
      <c r="F101" s="38" t="s">
        <v>462</v>
      </c>
      <c r="G101" s="38" t="s">
        <v>3</v>
      </c>
      <c r="H101" s="7" t="s">
        <v>307</v>
      </c>
      <c r="I101" s="7">
        <v>1500</v>
      </c>
      <c r="J101" s="7">
        <v>1500</v>
      </c>
      <c r="K101" s="7">
        <v>1.5</v>
      </c>
      <c r="L101" s="7" t="s">
        <v>4</v>
      </c>
      <c r="M101" s="2">
        <f t="shared" si="7"/>
        <v>2250</v>
      </c>
      <c r="N101" s="7">
        <v>0</v>
      </c>
      <c r="O101" s="5">
        <f t="shared" si="8"/>
        <v>2250</v>
      </c>
      <c r="P101" s="4">
        <f t="shared" si="9"/>
        <v>405</v>
      </c>
      <c r="Q101" s="2">
        <f t="shared" si="10"/>
        <v>2655</v>
      </c>
      <c r="R101" s="7">
        <v>-7965.42</v>
      </c>
      <c r="S101" s="49">
        <f t="shared" si="11"/>
        <v>-5310.42</v>
      </c>
      <c r="T101" s="49">
        <v>-5310.42</v>
      </c>
      <c r="U101" s="4">
        <f t="shared" si="12"/>
        <v>0</v>
      </c>
      <c r="V101" s="49">
        <v>-5310.42</v>
      </c>
      <c r="W101" s="49">
        <f t="shared" si="13"/>
        <v>0</v>
      </c>
      <c r="X101" s="46"/>
    </row>
    <row r="102" spans="1:24" x14ac:dyDescent="0.25">
      <c r="A102" s="7">
        <v>101</v>
      </c>
      <c r="B102" s="48" t="s">
        <v>503</v>
      </c>
      <c r="C102" s="38" t="s">
        <v>504</v>
      </c>
      <c r="D102" s="38" t="s">
        <v>505</v>
      </c>
      <c r="E102" s="38" t="s">
        <v>506</v>
      </c>
      <c r="F102" s="38" t="s">
        <v>237</v>
      </c>
      <c r="G102" s="38" t="s">
        <v>3</v>
      </c>
      <c r="H102" s="7" t="s">
        <v>307</v>
      </c>
      <c r="I102" s="7">
        <v>1000</v>
      </c>
      <c r="J102" s="7">
        <v>1000</v>
      </c>
      <c r="K102" s="7">
        <v>2</v>
      </c>
      <c r="L102" s="7" t="s">
        <v>4</v>
      </c>
      <c r="M102" s="2">
        <f t="shared" si="7"/>
        <v>2000</v>
      </c>
      <c r="N102" s="7">
        <v>0</v>
      </c>
      <c r="O102" s="5">
        <f t="shared" si="8"/>
        <v>2000</v>
      </c>
      <c r="P102" s="4">
        <f t="shared" si="9"/>
        <v>360</v>
      </c>
      <c r="Q102" s="2">
        <f t="shared" si="10"/>
        <v>2360</v>
      </c>
      <c r="R102" s="7">
        <v>-590.41999999999996</v>
      </c>
      <c r="S102" s="49">
        <f t="shared" si="11"/>
        <v>1769.58</v>
      </c>
      <c r="T102" s="49">
        <v>1769.58</v>
      </c>
      <c r="U102" s="4">
        <f t="shared" si="12"/>
        <v>0</v>
      </c>
      <c r="V102" s="49">
        <v>1769.58</v>
      </c>
      <c r="W102" s="49">
        <f t="shared" si="13"/>
        <v>0</v>
      </c>
      <c r="X102" s="46"/>
    </row>
    <row r="103" spans="1:24" x14ac:dyDescent="0.25">
      <c r="A103" s="7">
        <v>102</v>
      </c>
      <c r="B103" s="48" t="s">
        <v>536</v>
      </c>
      <c r="C103" s="38" t="s">
        <v>537</v>
      </c>
      <c r="D103" s="38" t="s">
        <v>537</v>
      </c>
      <c r="E103" s="38" t="s">
        <v>538</v>
      </c>
      <c r="F103" s="38" t="s">
        <v>237</v>
      </c>
      <c r="G103" s="38" t="s">
        <v>3</v>
      </c>
      <c r="H103" s="7" t="s">
        <v>307</v>
      </c>
      <c r="I103" s="7">
        <v>1000</v>
      </c>
      <c r="J103" s="7">
        <v>1020</v>
      </c>
      <c r="K103" s="7">
        <v>2</v>
      </c>
      <c r="L103" s="7" t="s">
        <v>4</v>
      </c>
      <c r="M103" s="2">
        <f t="shared" si="7"/>
        <v>2040</v>
      </c>
      <c r="N103" s="7">
        <v>0</v>
      </c>
      <c r="O103" s="5">
        <f t="shared" si="8"/>
        <v>2040</v>
      </c>
      <c r="P103" s="4">
        <f t="shared" si="9"/>
        <v>367.2</v>
      </c>
      <c r="Q103" s="2">
        <f t="shared" si="10"/>
        <v>2407.1999999999998</v>
      </c>
      <c r="R103" s="7">
        <v>-5848.96</v>
      </c>
      <c r="S103" s="49">
        <f t="shared" si="11"/>
        <v>-3441.76</v>
      </c>
      <c r="T103" s="49">
        <v>-3441.76</v>
      </c>
      <c r="U103" s="4">
        <f t="shared" si="12"/>
        <v>0</v>
      </c>
      <c r="V103" s="49">
        <v>-3441.76</v>
      </c>
      <c r="W103" s="49">
        <f t="shared" si="13"/>
        <v>0</v>
      </c>
      <c r="X103" s="46"/>
    </row>
    <row r="104" spans="1:24" x14ac:dyDescent="0.25">
      <c r="A104" s="7">
        <v>103</v>
      </c>
      <c r="B104" s="48" t="s">
        <v>512</v>
      </c>
      <c r="C104" s="38" t="s">
        <v>513</v>
      </c>
      <c r="D104" s="38" t="s">
        <v>513</v>
      </c>
      <c r="E104" s="38" t="s">
        <v>514</v>
      </c>
      <c r="F104" s="38" t="s">
        <v>241</v>
      </c>
      <c r="G104" s="38" t="s">
        <v>3</v>
      </c>
      <c r="H104" s="7" t="s">
        <v>307</v>
      </c>
      <c r="I104" s="7">
        <v>1000</v>
      </c>
      <c r="J104" s="7">
        <v>3500</v>
      </c>
      <c r="K104" s="7">
        <v>2</v>
      </c>
      <c r="L104" s="7" t="s">
        <v>4</v>
      </c>
      <c r="M104" s="2">
        <f t="shared" si="7"/>
        <v>7000</v>
      </c>
      <c r="N104" s="7">
        <v>0</v>
      </c>
      <c r="O104" s="5">
        <f t="shared" si="8"/>
        <v>7000</v>
      </c>
      <c r="P104" s="4">
        <f t="shared" si="9"/>
        <v>1260</v>
      </c>
      <c r="Q104" s="2">
        <f t="shared" si="10"/>
        <v>8260</v>
      </c>
      <c r="R104" s="7">
        <v>-5309.5</v>
      </c>
      <c r="S104" s="49">
        <f t="shared" si="11"/>
        <v>2950.5</v>
      </c>
      <c r="T104" s="49">
        <v>2950.5</v>
      </c>
      <c r="U104" s="4">
        <f t="shared" si="12"/>
        <v>0</v>
      </c>
      <c r="V104" s="49">
        <v>2950.5</v>
      </c>
      <c r="W104" s="49">
        <f t="shared" si="13"/>
        <v>0</v>
      </c>
      <c r="X104" s="46"/>
    </row>
    <row r="105" spans="1:24" x14ac:dyDescent="0.25">
      <c r="A105" s="7">
        <v>104</v>
      </c>
      <c r="B105" s="48" t="s">
        <v>563</v>
      </c>
      <c r="C105" s="38" t="s">
        <v>564</v>
      </c>
      <c r="D105" s="38" t="s">
        <v>564</v>
      </c>
      <c r="E105" s="38" t="s">
        <v>565</v>
      </c>
      <c r="F105" s="38" t="s">
        <v>242</v>
      </c>
      <c r="G105" s="38" t="s">
        <v>3</v>
      </c>
      <c r="H105" s="7" t="s">
        <v>307</v>
      </c>
      <c r="I105" s="7">
        <v>500</v>
      </c>
      <c r="J105" s="7">
        <v>500</v>
      </c>
      <c r="K105" s="7">
        <v>2</v>
      </c>
      <c r="L105" s="7" t="s">
        <v>4</v>
      </c>
      <c r="M105" s="2">
        <f t="shared" si="7"/>
        <v>1000</v>
      </c>
      <c r="N105" s="7">
        <v>0</v>
      </c>
      <c r="O105" s="5">
        <f t="shared" si="8"/>
        <v>1000</v>
      </c>
      <c r="P105" s="4">
        <f t="shared" si="9"/>
        <v>180</v>
      </c>
      <c r="Q105" s="2">
        <f t="shared" si="10"/>
        <v>1180</v>
      </c>
      <c r="R105" s="7">
        <v>-4720</v>
      </c>
      <c r="S105" s="49">
        <f t="shared" si="11"/>
        <v>-3540</v>
      </c>
      <c r="T105" s="49">
        <v>-3540</v>
      </c>
      <c r="U105" s="4">
        <f t="shared" si="12"/>
        <v>0</v>
      </c>
      <c r="V105" s="49">
        <v>-3540</v>
      </c>
      <c r="W105" s="49">
        <f t="shared" si="13"/>
        <v>0</v>
      </c>
      <c r="X105" s="46"/>
    </row>
    <row r="106" spans="1:24" x14ac:dyDescent="0.25">
      <c r="A106" s="7">
        <v>105</v>
      </c>
      <c r="B106" s="48" t="s">
        <v>602</v>
      </c>
      <c r="C106" s="38" t="s">
        <v>604</v>
      </c>
      <c r="D106" s="38" t="s">
        <v>604</v>
      </c>
      <c r="E106" s="38" t="s">
        <v>603</v>
      </c>
      <c r="F106" s="38" t="s">
        <v>241</v>
      </c>
      <c r="G106" s="38" t="s">
        <v>3</v>
      </c>
      <c r="H106" s="7" t="s">
        <v>307</v>
      </c>
      <c r="I106" s="7">
        <v>500</v>
      </c>
      <c r="J106" s="7">
        <v>500</v>
      </c>
      <c r="K106" s="7">
        <v>1.5</v>
      </c>
      <c r="L106" s="7" t="s">
        <v>4</v>
      </c>
      <c r="M106" s="2">
        <f t="shared" si="7"/>
        <v>750</v>
      </c>
      <c r="N106" s="7">
        <v>0</v>
      </c>
      <c r="O106" s="5">
        <f t="shared" si="8"/>
        <v>750</v>
      </c>
      <c r="P106" s="4">
        <f t="shared" si="9"/>
        <v>135</v>
      </c>
      <c r="Q106" s="2">
        <f t="shared" si="10"/>
        <v>885</v>
      </c>
      <c r="R106" s="7">
        <v>-5390</v>
      </c>
      <c r="S106" s="49">
        <f t="shared" si="11"/>
        <v>-4505</v>
      </c>
      <c r="T106" s="49">
        <v>-4505</v>
      </c>
      <c r="U106" s="4">
        <f t="shared" si="12"/>
        <v>0</v>
      </c>
      <c r="V106" s="49">
        <v>-4505</v>
      </c>
      <c r="W106" s="49">
        <f t="shared" si="13"/>
        <v>0</v>
      </c>
      <c r="X106" s="46"/>
    </row>
    <row r="107" spans="1:24" x14ac:dyDescent="0.25">
      <c r="A107" s="7">
        <v>106</v>
      </c>
      <c r="B107" s="48" t="s">
        <v>613</v>
      </c>
      <c r="C107" s="38" t="s">
        <v>615</v>
      </c>
      <c r="D107" s="38" t="s">
        <v>615</v>
      </c>
      <c r="E107" s="38" t="s">
        <v>614</v>
      </c>
      <c r="F107" s="38" t="s">
        <v>237</v>
      </c>
      <c r="G107" s="38" t="s">
        <v>3</v>
      </c>
      <c r="H107" s="7" t="s">
        <v>307</v>
      </c>
      <c r="I107" s="7">
        <v>500</v>
      </c>
      <c r="J107" s="7">
        <v>508</v>
      </c>
      <c r="K107" s="7">
        <v>1.5</v>
      </c>
      <c r="L107" s="7" t="s">
        <v>4</v>
      </c>
      <c r="M107" s="2">
        <f t="shared" si="7"/>
        <v>762</v>
      </c>
      <c r="N107" s="7">
        <v>0</v>
      </c>
      <c r="O107" s="5">
        <f t="shared" si="8"/>
        <v>762</v>
      </c>
      <c r="P107" s="4">
        <f t="shared" si="9"/>
        <v>137.16</v>
      </c>
      <c r="Q107" s="2">
        <f t="shared" si="10"/>
        <v>899.16</v>
      </c>
      <c r="R107" s="7">
        <v>-6507.37</v>
      </c>
      <c r="S107" s="49">
        <f t="shared" si="11"/>
        <v>-5608.21</v>
      </c>
      <c r="T107" s="49">
        <v>-5608.21</v>
      </c>
      <c r="U107" s="4">
        <f t="shared" si="12"/>
        <v>0</v>
      </c>
      <c r="V107" s="49">
        <v>-5608.21</v>
      </c>
      <c r="W107" s="49">
        <f t="shared" si="13"/>
        <v>0</v>
      </c>
      <c r="X107" s="46"/>
    </row>
    <row r="108" spans="1:24" x14ac:dyDescent="0.25">
      <c r="A108" s="7">
        <v>107</v>
      </c>
      <c r="B108" s="48" t="s">
        <v>617</v>
      </c>
      <c r="C108" s="38" t="s">
        <v>618</v>
      </c>
      <c r="D108" s="38" t="s">
        <v>618</v>
      </c>
      <c r="E108" s="38" t="s">
        <v>619</v>
      </c>
      <c r="F108" s="38" t="s">
        <v>237</v>
      </c>
      <c r="G108" s="38" t="s">
        <v>3</v>
      </c>
      <c r="H108" s="7" t="s">
        <v>307</v>
      </c>
      <c r="I108" s="7">
        <v>500</v>
      </c>
      <c r="J108" s="7">
        <v>1041</v>
      </c>
      <c r="K108" s="7">
        <v>2</v>
      </c>
      <c r="L108" s="7" t="s">
        <v>4</v>
      </c>
      <c r="M108" s="2">
        <f t="shared" si="7"/>
        <v>2082</v>
      </c>
      <c r="N108" s="7">
        <v>0</v>
      </c>
      <c r="O108" s="5">
        <f t="shared" si="8"/>
        <v>2082</v>
      </c>
      <c r="P108" s="4">
        <f t="shared" si="9"/>
        <v>374.76</v>
      </c>
      <c r="Q108" s="2">
        <f t="shared" si="10"/>
        <v>2456.7600000000002</v>
      </c>
      <c r="R108" s="7">
        <v>-2402.48</v>
      </c>
      <c r="S108" s="49">
        <f t="shared" si="11"/>
        <v>54.2800000000002</v>
      </c>
      <c r="T108" s="49">
        <v>54.28</v>
      </c>
      <c r="U108" s="4">
        <f t="shared" si="12"/>
        <v>1.9895196601282805E-13</v>
      </c>
      <c r="V108" s="49">
        <v>54.28</v>
      </c>
      <c r="W108" s="49">
        <f t="shared" si="13"/>
        <v>0</v>
      </c>
      <c r="X108" s="46"/>
    </row>
    <row r="109" spans="1:24" x14ac:dyDescent="0.25">
      <c r="A109" s="7">
        <v>108</v>
      </c>
      <c r="B109" s="48" t="s">
        <v>622</v>
      </c>
      <c r="C109" s="38" t="s">
        <v>623</v>
      </c>
      <c r="D109" s="38" t="s">
        <v>623</v>
      </c>
      <c r="E109" s="38" t="s">
        <v>624</v>
      </c>
      <c r="F109" s="38" t="s">
        <v>241</v>
      </c>
      <c r="G109" s="38" t="s">
        <v>3</v>
      </c>
      <c r="H109" s="7" t="s">
        <v>307</v>
      </c>
      <c r="I109" s="7">
        <v>500</v>
      </c>
      <c r="J109" s="7">
        <v>500</v>
      </c>
      <c r="K109" s="7">
        <v>1.5</v>
      </c>
      <c r="L109" s="7" t="s">
        <v>4</v>
      </c>
      <c r="M109" s="2">
        <f t="shared" si="7"/>
        <v>750</v>
      </c>
      <c r="N109" s="7">
        <v>0</v>
      </c>
      <c r="O109" s="5">
        <f t="shared" si="8"/>
        <v>750</v>
      </c>
      <c r="P109" s="4">
        <f t="shared" si="9"/>
        <v>135</v>
      </c>
      <c r="Q109" s="2">
        <f t="shared" si="10"/>
        <v>885</v>
      </c>
      <c r="R109" s="7">
        <v>-7160</v>
      </c>
      <c r="S109" s="49">
        <f t="shared" si="11"/>
        <v>-6275</v>
      </c>
      <c r="T109" s="49">
        <v>-6275</v>
      </c>
      <c r="U109" s="4">
        <f t="shared" si="12"/>
        <v>0</v>
      </c>
      <c r="V109" s="49">
        <v>-6275</v>
      </c>
      <c r="W109" s="49">
        <f t="shared" si="13"/>
        <v>0</v>
      </c>
      <c r="X109" s="46"/>
    </row>
    <row r="110" spans="1:24" x14ac:dyDescent="0.25">
      <c r="A110" s="7">
        <v>109</v>
      </c>
      <c r="B110" s="48" t="s">
        <v>594</v>
      </c>
      <c r="C110" s="38" t="s">
        <v>595</v>
      </c>
      <c r="D110" s="38" t="s">
        <v>595</v>
      </c>
      <c r="E110" s="38" t="s">
        <v>596</v>
      </c>
      <c r="F110" s="38" t="s">
        <v>237</v>
      </c>
      <c r="G110" s="38" t="s">
        <v>3</v>
      </c>
      <c r="H110" s="7" t="s">
        <v>307</v>
      </c>
      <c r="I110" s="7">
        <v>500</v>
      </c>
      <c r="J110" s="7">
        <v>500</v>
      </c>
      <c r="K110" s="7">
        <v>2.5</v>
      </c>
      <c r="L110" s="7" t="s">
        <v>4</v>
      </c>
      <c r="M110" s="2">
        <f t="shared" si="7"/>
        <v>1250</v>
      </c>
      <c r="N110" s="7">
        <v>0</v>
      </c>
      <c r="O110" s="5">
        <f t="shared" si="8"/>
        <v>1250</v>
      </c>
      <c r="P110" s="4">
        <f t="shared" si="9"/>
        <v>225</v>
      </c>
      <c r="Q110" s="2">
        <f t="shared" si="10"/>
        <v>1475</v>
      </c>
      <c r="R110" s="7">
        <v>-4956</v>
      </c>
      <c r="S110" s="49">
        <f t="shared" si="11"/>
        <v>-3481</v>
      </c>
      <c r="T110" s="49">
        <v>-3481</v>
      </c>
      <c r="U110" s="4">
        <f t="shared" si="12"/>
        <v>0</v>
      </c>
      <c r="V110" s="49">
        <v>-3481</v>
      </c>
      <c r="W110" s="49">
        <f t="shared" si="13"/>
        <v>0</v>
      </c>
      <c r="X110" s="46"/>
    </row>
    <row r="111" spans="1:24" x14ac:dyDescent="0.25">
      <c r="A111" s="7">
        <v>110</v>
      </c>
      <c r="B111" s="48" t="s">
        <v>374</v>
      </c>
      <c r="C111" s="38" t="s">
        <v>375</v>
      </c>
      <c r="D111" s="38" t="s">
        <v>375</v>
      </c>
      <c r="E111" s="38" t="s">
        <v>376</v>
      </c>
      <c r="F111" s="38" t="s">
        <v>246</v>
      </c>
      <c r="G111" s="38" t="s">
        <v>3</v>
      </c>
      <c r="H111" s="7" t="s">
        <v>307</v>
      </c>
      <c r="I111" s="7">
        <v>750</v>
      </c>
      <c r="J111" s="7">
        <v>750</v>
      </c>
      <c r="K111" s="7">
        <v>3</v>
      </c>
      <c r="L111" s="7" t="s">
        <v>4</v>
      </c>
      <c r="M111" s="2">
        <f t="shared" si="7"/>
        <v>2250</v>
      </c>
      <c r="N111" s="7">
        <v>0</v>
      </c>
      <c r="O111" s="5">
        <f t="shared" si="8"/>
        <v>2250</v>
      </c>
      <c r="P111" s="4">
        <f t="shared" si="9"/>
        <v>405</v>
      </c>
      <c r="Q111" s="2">
        <f t="shared" si="10"/>
        <v>2655</v>
      </c>
      <c r="R111" s="7">
        <v>-10620</v>
      </c>
      <c r="S111" s="49">
        <f t="shared" si="11"/>
        <v>-7965</v>
      </c>
      <c r="T111" s="49">
        <v>-7965</v>
      </c>
      <c r="U111" s="4">
        <f t="shared" si="12"/>
        <v>0</v>
      </c>
      <c r="V111" s="49">
        <v>-7965</v>
      </c>
      <c r="W111" s="49">
        <f t="shared" si="13"/>
        <v>0</v>
      </c>
      <c r="X111" s="46"/>
    </row>
    <row r="112" spans="1:24" x14ac:dyDescent="0.25">
      <c r="A112" s="7">
        <v>111</v>
      </c>
      <c r="B112" s="48" t="s">
        <v>152</v>
      </c>
      <c r="C112" s="38" t="s">
        <v>202</v>
      </c>
      <c r="D112" s="38" t="s">
        <v>202</v>
      </c>
      <c r="E112" s="38" t="s">
        <v>42</v>
      </c>
      <c r="F112" s="38" t="s">
        <v>237</v>
      </c>
      <c r="G112" s="38" t="s">
        <v>3</v>
      </c>
      <c r="H112" s="7" t="s">
        <v>307</v>
      </c>
      <c r="I112" s="7">
        <v>1000</v>
      </c>
      <c r="J112" s="7">
        <v>1000</v>
      </c>
      <c r="K112" s="7">
        <v>2</v>
      </c>
      <c r="L112" s="7" t="s">
        <v>4</v>
      </c>
      <c r="M112" s="2">
        <f t="shared" si="7"/>
        <v>2000</v>
      </c>
      <c r="N112" s="7">
        <v>0</v>
      </c>
      <c r="O112" s="5">
        <f t="shared" si="8"/>
        <v>2000</v>
      </c>
      <c r="P112" s="4">
        <f t="shared" si="9"/>
        <v>360</v>
      </c>
      <c r="Q112" s="2">
        <f t="shared" si="10"/>
        <v>2360</v>
      </c>
      <c r="R112" s="7">
        <v>-0.08</v>
      </c>
      <c r="S112" s="49">
        <f t="shared" si="11"/>
        <v>2359.92</v>
      </c>
      <c r="T112" s="49">
        <v>2359.92</v>
      </c>
      <c r="U112" s="4">
        <f t="shared" si="12"/>
        <v>0</v>
      </c>
      <c r="V112" s="49">
        <v>2359.92</v>
      </c>
      <c r="W112" s="49">
        <f t="shared" si="13"/>
        <v>0</v>
      </c>
      <c r="X112" s="46"/>
    </row>
    <row r="113" spans="1:24" x14ac:dyDescent="0.25">
      <c r="A113" s="7">
        <v>112</v>
      </c>
      <c r="B113" s="48" t="s">
        <v>123</v>
      </c>
      <c r="C113" s="38" t="s">
        <v>17</v>
      </c>
      <c r="D113" s="38" t="s">
        <v>17</v>
      </c>
      <c r="E113" s="38" t="s">
        <v>122</v>
      </c>
      <c r="F113" s="38" t="s">
        <v>236</v>
      </c>
      <c r="G113" s="38" t="s">
        <v>3</v>
      </c>
      <c r="H113" s="7" t="s">
        <v>307</v>
      </c>
      <c r="I113" s="7">
        <v>1000</v>
      </c>
      <c r="J113" s="7">
        <v>1000</v>
      </c>
      <c r="K113" s="7">
        <v>2.5</v>
      </c>
      <c r="L113" s="7" t="s">
        <v>4</v>
      </c>
      <c r="M113" s="2">
        <f>J113*K113+250</f>
        <v>2750</v>
      </c>
      <c r="N113" s="7">
        <v>0</v>
      </c>
      <c r="O113" s="5">
        <f t="shared" si="8"/>
        <v>2750</v>
      </c>
      <c r="P113" s="4">
        <f t="shared" si="9"/>
        <v>495</v>
      </c>
      <c r="Q113" s="2">
        <f t="shared" si="10"/>
        <v>3245</v>
      </c>
      <c r="R113" s="7">
        <v>-0.22</v>
      </c>
      <c r="S113" s="49">
        <f t="shared" si="11"/>
        <v>3244.78</v>
      </c>
      <c r="T113" s="49">
        <v>3244.78</v>
      </c>
      <c r="U113" s="4">
        <f t="shared" si="12"/>
        <v>0</v>
      </c>
      <c r="V113" s="49">
        <v>3244.78</v>
      </c>
      <c r="W113" s="49">
        <f t="shared" si="13"/>
        <v>0</v>
      </c>
      <c r="X113" s="46"/>
    </row>
    <row r="114" spans="1:24" x14ac:dyDescent="0.25">
      <c r="A114" s="7">
        <v>113</v>
      </c>
      <c r="B114" s="48" t="s">
        <v>467</v>
      </c>
      <c r="C114" s="38" t="s">
        <v>468</v>
      </c>
      <c r="D114" s="38" t="s">
        <v>468</v>
      </c>
      <c r="E114" s="38" t="s">
        <v>469</v>
      </c>
      <c r="F114" s="38" t="s">
        <v>242</v>
      </c>
      <c r="G114" s="38" t="s">
        <v>3</v>
      </c>
      <c r="H114" s="7" t="s">
        <v>307</v>
      </c>
      <c r="I114" s="7">
        <v>2000</v>
      </c>
      <c r="J114" s="7">
        <v>2256</v>
      </c>
      <c r="K114" s="7">
        <v>2.5</v>
      </c>
      <c r="L114" s="7" t="s">
        <v>4</v>
      </c>
      <c r="M114" s="2">
        <f t="shared" si="7"/>
        <v>5640</v>
      </c>
      <c r="N114" s="7">
        <v>0</v>
      </c>
      <c r="O114" s="5">
        <f t="shared" si="8"/>
        <v>5640</v>
      </c>
      <c r="P114" s="4">
        <f t="shared" si="9"/>
        <v>1015.1999999999999</v>
      </c>
      <c r="Q114" s="2">
        <f t="shared" si="10"/>
        <v>6655.2</v>
      </c>
      <c r="R114" s="7">
        <v>-0.03</v>
      </c>
      <c r="S114" s="49">
        <f t="shared" si="11"/>
        <v>6655.17</v>
      </c>
      <c r="T114" s="49">
        <v>6655.17</v>
      </c>
      <c r="U114" s="4">
        <f t="shared" si="12"/>
        <v>0</v>
      </c>
      <c r="V114" s="49">
        <v>6655.17</v>
      </c>
      <c r="W114" s="49">
        <f t="shared" si="13"/>
        <v>0</v>
      </c>
      <c r="X114" s="46"/>
    </row>
    <row r="115" spans="1:24" x14ac:dyDescent="0.25">
      <c r="A115" s="7">
        <v>114</v>
      </c>
      <c r="B115" s="48" t="s">
        <v>365</v>
      </c>
      <c r="C115" s="38" t="s">
        <v>366</v>
      </c>
      <c r="D115" s="38" t="s">
        <v>367</v>
      </c>
      <c r="E115" s="38" t="s">
        <v>368</v>
      </c>
      <c r="F115" s="38" t="s">
        <v>237</v>
      </c>
      <c r="G115" s="38" t="s">
        <v>3</v>
      </c>
      <c r="H115" s="7" t="s">
        <v>307</v>
      </c>
      <c r="I115" s="7">
        <v>20000</v>
      </c>
      <c r="J115" s="7">
        <v>20000</v>
      </c>
      <c r="K115" s="7">
        <v>1</v>
      </c>
      <c r="L115" s="7" t="s">
        <v>4</v>
      </c>
      <c r="M115" s="2">
        <f t="shared" si="7"/>
        <v>20000</v>
      </c>
      <c r="N115" s="7">
        <v>0</v>
      </c>
      <c r="O115" s="5">
        <f t="shared" si="8"/>
        <v>20000</v>
      </c>
      <c r="P115" s="4">
        <f t="shared" si="9"/>
        <v>3600</v>
      </c>
      <c r="Q115" s="2">
        <f t="shared" si="10"/>
        <v>23600</v>
      </c>
      <c r="R115" s="7">
        <v>0.01</v>
      </c>
      <c r="S115" s="49">
        <f t="shared" si="11"/>
        <v>23600.01</v>
      </c>
      <c r="T115" s="49">
        <v>23600.01</v>
      </c>
      <c r="U115" s="4">
        <f t="shared" si="12"/>
        <v>0</v>
      </c>
      <c r="V115" s="49">
        <v>23600.01</v>
      </c>
      <c r="W115" s="49">
        <f t="shared" si="13"/>
        <v>0</v>
      </c>
      <c r="X115" s="46"/>
    </row>
    <row r="116" spans="1:24" x14ac:dyDescent="0.25">
      <c r="A116" s="7">
        <v>115</v>
      </c>
      <c r="B116" s="48" t="s">
        <v>209</v>
      </c>
      <c r="C116" s="38" t="s">
        <v>215</v>
      </c>
      <c r="D116" s="38" t="s">
        <v>216</v>
      </c>
      <c r="E116" s="38" t="s">
        <v>191</v>
      </c>
      <c r="F116" s="38" t="s">
        <v>247</v>
      </c>
      <c r="G116" s="38" t="s">
        <v>3</v>
      </c>
      <c r="H116" s="7" t="s">
        <v>117</v>
      </c>
      <c r="I116" s="7">
        <v>1000</v>
      </c>
      <c r="J116" s="7">
        <v>2254</v>
      </c>
      <c r="K116" s="7">
        <v>2</v>
      </c>
      <c r="L116" s="7" t="s">
        <v>4</v>
      </c>
      <c r="M116" s="2">
        <f t="shared" si="7"/>
        <v>4508</v>
      </c>
      <c r="N116" s="7">
        <v>0</v>
      </c>
      <c r="O116" s="5">
        <f t="shared" si="8"/>
        <v>4508</v>
      </c>
      <c r="P116" s="4">
        <f t="shared" si="9"/>
        <v>811.43999999999994</v>
      </c>
      <c r="Q116" s="2">
        <f t="shared" si="10"/>
        <v>5319.44</v>
      </c>
      <c r="R116" s="7">
        <v>0.46</v>
      </c>
      <c r="S116" s="49">
        <f t="shared" si="11"/>
        <v>5319.9</v>
      </c>
      <c r="T116" s="49">
        <v>5319.9</v>
      </c>
      <c r="U116" s="4">
        <f t="shared" si="12"/>
        <v>0</v>
      </c>
      <c r="V116" s="49">
        <v>5319.9</v>
      </c>
      <c r="W116" s="49">
        <f t="shared" si="13"/>
        <v>0</v>
      </c>
      <c r="X116" s="46"/>
    </row>
    <row r="117" spans="1:24" x14ac:dyDescent="0.25">
      <c r="A117" s="7">
        <v>116</v>
      </c>
      <c r="B117" s="48" t="s">
        <v>539</v>
      </c>
      <c r="C117" s="38" t="s">
        <v>540</v>
      </c>
      <c r="D117" s="38" t="s">
        <v>540</v>
      </c>
      <c r="E117" s="38" t="s">
        <v>545</v>
      </c>
      <c r="F117" s="38" t="s">
        <v>237</v>
      </c>
      <c r="G117" s="38" t="s">
        <v>3</v>
      </c>
      <c r="H117" s="7" t="s">
        <v>307</v>
      </c>
      <c r="I117" s="7">
        <v>800</v>
      </c>
      <c r="J117" s="7">
        <v>800</v>
      </c>
      <c r="K117" s="7">
        <v>2.5</v>
      </c>
      <c r="L117" s="7" t="s">
        <v>4</v>
      </c>
      <c r="M117" s="2">
        <f>J117*K117+250</f>
        <v>2250</v>
      </c>
      <c r="N117" s="7">
        <v>0</v>
      </c>
      <c r="O117" s="5">
        <f t="shared" si="8"/>
        <v>2250</v>
      </c>
      <c r="P117" s="4">
        <f t="shared" si="9"/>
        <v>405</v>
      </c>
      <c r="Q117" s="2">
        <f t="shared" si="10"/>
        <v>2655</v>
      </c>
      <c r="R117" s="7">
        <v>-15930.72</v>
      </c>
      <c r="S117" s="49">
        <f t="shared" si="11"/>
        <v>-13275.72</v>
      </c>
      <c r="T117" s="49">
        <v>-13275.72</v>
      </c>
      <c r="U117" s="4">
        <f t="shared" si="12"/>
        <v>0</v>
      </c>
      <c r="V117" s="49">
        <v>-13275.72</v>
      </c>
      <c r="W117" s="49">
        <f t="shared" si="13"/>
        <v>0</v>
      </c>
      <c r="X117" s="46"/>
    </row>
    <row r="118" spans="1:24" x14ac:dyDescent="0.25">
      <c r="A118" s="7">
        <v>117</v>
      </c>
      <c r="B118" s="48" t="s">
        <v>103</v>
      </c>
      <c r="C118" s="38" t="s">
        <v>282</v>
      </c>
      <c r="D118" s="38" t="s">
        <v>282</v>
      </c>
      <c r="E118" s="38" t="s">
        <v>300</v>
      </c>
      <c r="F118" s="38" t="s">
        <v>243</v>
      </c>
      <c r="G118" s="38" t="s">
        <v>3</v>
      </c>
      <c r="H118" s="7" t="s">
        <v>307</v>
      </c>
      <c r="I118" s="7">
        <v>1000</v>
      </c>
      <c r="J118" s="7">
        <v>1835</v>
      </c>
      <c r="K118" s="7">
        <v>2</v>
      </c>
      <c r="L118" s="7" t="s">
        <v>4</v>
      </c>
      <c r="M118" s="2">
        <f>J118*K118+250</f>
        <v>3920</v>
      </c>
      <c r="N118" s="7">
        <v>0</v>
      </c>
      <c r="O118" s="5">
        <f t="shared" si="8"/>
        <v>3920</v>
      </c>
      <c r="P118" s="4">
        <f t="shared" si="9"/>
        <v>705.6</v>
      </c>
      <c r="Q118" s="2">
        <f t="shared" si="10"/>
        <v>4625.6000000000004</v>
      </c>
      <c r="R118" s="7">
        <v>14.77</v>
      </c>
      <c r="S118" s="49">
        <f t="shared" si="11"/>
        <v>4640.3700000000008</v>
      </c>
      <c r="T118" s="49">
        <v>4640.37</v>
      </c>
      <c r="U118" s="4">
        <f t="shared" si="12"/>
        <v>0</v>
      </c>
      <c r="V118" s="49">
        <v>4640.37</v>
      </c>
      <c r="W118" s="49">
        <f t="shared" si="13"/>
        <v>0</v>
      </c>
      <c r="X118" s="46"/>
    </row>
    <row r="119" spans="1:24" x14ac:dyDescent="0.25">
      <c r="A119" s="7">
        <v>118</v>
      </c>
      <c r="B119" s="48" t="s">
        <v>203</v>
      </c>
      <c r="C119" s="38" t="s">
        <v>204</v>
      </c>
      <c r="D119" s="38" t="s">
        <v>204</v>
      </c>
      <c r="E119" s="38" t="s">
        <v>205</v>
      </c>
      <c r="F119" s="38" t="s">
        <v>246</v>
      </c>
      <c r="G119" s="38" t="s">
        <v>3</v>
      </c>
      <c r="H119" s="7" t="s">
        <v>307</v>
      </c>
      <c r="I119" s="7">
        <v>650</v>
      </c>
      <c r="J119" s="7">
        <v>650</v>
      </c>
      <c r="K119" s="7">
        <v>3</v>
      </c>
      <c r="L119" s="7" t="s">
        <v>4</v>
      </c>
      <c r="M119" s="2">
        <f t="shared" si="7"/>
        <v>1950</v>
      </c>
      <c r="N119" s="7">
        <v>0</v>
      </c>
      <c r="O119" s="5">
        <f t="shared" si="8"/>
        <v>1950</v>
      </c>
      <c r="P119" s="4">
        <f t="shared" si="9"/>
        <v>351</v>
      </c>
      <c r="Q119" s="2">
        <f t="shared" si="10"/>
        <v>2301</v>
      </c>
      <c r="R119" s="7">
        <v>19.690000000000001</v>
      </c>
      <c r="S119" s="49">
        <f t="shared" si="11"/>
        <v>2320.69</v>
      </c>
      <c r="T119" s="49">
        <v>2320.69</v>
      </c>
      <c r="U119" s="4">
        <f t="shared" si="12"/>
        <v>0</v>
      </c>
      <c r="V119" s="49">
        <v>2320.69</v>
      </c>
      <c r="W119" s="49">
        <f t="shared" si="13"/>
        <v>0</v>
      </c>
      <c r="X119" s="46"/>
    </row>
    <row r="120" spans="1:24" x14ac:dyDescent="0.25">
      <c r="A120" s="7">
        <v>119</v>
      </c>
      <c r="B120" s="48" t="s">
        <v>380</v>
      </c>
      <c r="C120" s="38" t="s">
        <v>381</v>
      </c>
      <c r="D120" s="38" t="s">
        <v>382</v>
      </c>
      <c r="E120" s="38" t="s">
        <v>383</v>
      </c>
      <c r="F120" s="38" t="s">
        <v>237</v>
      </c>
      <c r="G120" s="38" t="s">
        <v>3</v>
      </c>
      <c r="H120" s="7" t="s">
        <v>307</v>
      </c>
      <c r="I120" s="7">
        <v>1000</v>
      </c>
      <c r="J120" s="7">
        <v>1893</v>
      </c>
      <c r="K120" s="7">
        <v>2</v>
      </c>
      <c r="L120" s="7" t="s">
        <v>4</v>
      </c>
      <c r="M120" s="2">
        <f t="shared" si="7"/>
        <v>3786</v>
      </c>
      <c r="N120" s="7">
        <v>0</v>
      </c>
      <c r="O120" s="5">
        <f t="shared" si="8"/>
        <v>3786</v>
      </c>
      <c r="P120" s="4">
        <f t="shared" si="9"/>
        <v>681.48</v>
      </c>
      <c r="Q120" s="2">
        <f t="shared" si="10"/>
        <v>4467.4799999999996</v>
      </c>
      <c r="R120" s="7">
        <v>-9685.65</v>
      </c>
      <c r="S120" s="49">
        <f t="shared" si="11"/>
        <v>-5218.17</v>
      </c>
      <c r="T120" s="49">
        <v>-5218.17</v>
      </c>
      <c r="U120" s="4">
        <f t="shared" si="12"/>
        <v>0</v>
      </c>
      <c r="V120" s="49">
        <v>-5218.17</v>
      </c>
      <c r="W120" s="49">
        <f t="shared" si="13"/>
        <v>0</v>
      </c>
      <c r="X120" s="46"/>
    </row>
    <row r="121" spans="1:24" x14ac:dyDescent="0.25">
      <c r="A121" s="7">
        <v>120</v>
      </c>
      <c r="B121" s="48" t="s">
        <v>259</v>
      </c>
      <c r="C121" s="38" t="s">
        <v>260</v>
      </c>
      <c r="D121" s="38" t="s">
        <v>261</v>
      </c>
      <c r="E121" s="38" t="s">
        <v>401</v>
      </c>
      <c r="F121" s="38" t="s">
        <v>237</v>
      </c>
      <c r="G121" s="38" t="s">
        <v>3</v>
      </c>
      <c r="H121" s="7" t="s">
        <v>307</v>
      </c>
      <c r="I121" s="7">
        <v>1000</v>
      </c>
      <c r="J121" s="7">
        <v>3741</v>
      </c>
      <c r="K121" s="7">
        <v>2</v>
      </c>
      <c r="L121" s="7" t="s">
        <v>4</v>
      </c>
      <c r="M121" s="2">
        <f t="shared" si="7"/>
        <v>7482</v>
      </c>
      <c r="N121" s="7">
        <v>0</v>
      </c>
      <c r="O121" s="5">
        <f t="shared" si="8"/>
        <v>7482</v>
      </c>
      <c r="P121" s="4">
        <f t="shared" si="9"/>
        <v>1346.76</v>
      </c>
      <c r="Q121" s="2">
        <f t="shared" si="10"/>
        <v>8828.76</v>
      </c>
      <c r="R121" s="7">
        <v>0.28999999999999998</v>
      </c>
      <c r="S121" s="49">
        <f t="shared" si="11"/>
        <v>8829.0500000000011</v>
      </c>
      <c r="T121" s="49">
        <v>8829.0499999999993</v>
      </c>
      <c r="U121" s="4">
        <f t="shared" si="12"/>
        <v>0</v>
      </c>
      <c r="V121" s="49">
        <v>8829.0499999999993</v>
      </c>
      <c r="W121" s="49">
        <f t="shared" si="13"/>
        <v>0</v>
      </c>
      <c r="X121" s="46"/>
    </row>
    <row r="122" spans="1:24" x14ac:dyDescent="0.25">
      <c r="A122" s="7">
        <v>121</v>
      </c>
      <c r="B122" s="48" t="s">
        <v>106</v>
      </c>
      <c r="C122" s="38" t="s">
        <v>107</v>
      </c>
      <c r="D122" s="38" t="s">
        <v>107</v>
      </c>
      <c r="E122" s="38" t="s">
        <v>1053</v>
      </c>
      <c r="F122" s="38" t="s">
        <v>239</v>
      </c>
      <c r="G122" s="38" t="s">
        <v>3</v>
      </c>
      <c r="H122" s="7" t="s">
        <v>307</v>
      </c>
      <c r="I122" s="7">
        <v>10000</v>
      </c>
      <c r="J122" s="7">
        <v>10000</v>
      </c>
      <c r="K122" s="7">
        <v>1</v>
      </c>
      <c r="L122" s="7" t="s">
        <v>4</v>
      </c>
      <c r="M122" s="2">
        <f t="shared" si="7"/>
        <v>10000</v>
      </c>
      <c r="N122" s="7">
        <v>0</v>
      </c>
      <c r="O122" s="5">
        <f t="shared" si="8"/>
        <v>10000</v>
      </c>
      <c r="P122" s="4">
        <f t="shared" si="9"/>
        <v>1800</v>
      </c>
      <c r="Q122" s="2">
        <f t="shared" si="10"/>
        <v>11800</v>
      </c>
      <c r="R122" s="7">
        <v>89.46</v>
      </c>
      <c r="S122" s="49">
        <f t="shared" si="11"/>
        <v>11889.46</v>
      </c>
      <c r="T122" s="49">
        <v>11889.46</v>
      </c>
      <c r="U122" s="4">
        <f t="shared" si="12"/>
        <v>0</v>
      </c>
      <c r="V122" s="49">
        <v>11889.46</v>
      </c>
      <c r="W122" s="49">
        <f t="shared" si="13"/>
        <v>0</v>
      </c>
      <c r="X122" s="46"/>
    </row>
    <row r="123" spans="1:24" x14ac:dyDescent="0.25">
      <c r="A123" s="7">
        <v>122</v>
      </c>
      <c r="B123" s="48" t="s">
        <v>173</v>
      </c>
      <c r="C123" s="38" t="s">
        <v>40</v>
      </c>
      <c r="D123" s="38" t="s">
        <v>41</v>
      </c>
      <c r="E123" s="38" t="s">
        <v>40</v>
      </c>
      <c r="F123" s="38" t="s">
        <v>242</v>
      </c>
      <c r="G123" s="38" t="s">
        <v>3</v>
      </c>
      <c r="H123" s="7" t="s">
        <v>307</v>
      </c>
      <c r="I123" s="7">
        <v>1000</v>
      </c>
      <c r="J123" s="7">
        <v>1957</v>
      </c>
      <c r="K123" s="7">
        <v>2</v>
      </c>
      <c r="L123" s="7" t="s">
        <v>4</v>
      </c>
      <c r="M123" s="2">
        <f t="shared" si="7"/>
        <v>3914</v>
      </c>
      <c r="N123" s="7">
        <v>0</v>
      </c>
      <c r="O123" s="5">
        <f t="shared" si="8"/>
        <v>3914</v>
      </c>
      <c r="P123" s="4">
        <f t="shared" si="9"/>
        <v>704.52</v>
      </c>
      <c r="Q123" s="2">
        <f t="shared" si="10"/>
        <v>4618.5200000000004</v>
      </c>
      <c r="R123" s="7">
        <v>-0.23</v>
      </c>
      <c r="S123" s="49">
        <f t="shared" si="11"/>
        <v>4618.2900000000009</v>
      </c>
      <c r="T123" s="49">
        <v>4618.29</v>
      </c>
      <c r="U123" s="4">
        <f t="shared" si="12"/>
        <v>0</v>
      </c>
      <c r="V123" s="49">
        <v>4618.29</v>
      </c>
      <c r="W123" s="49">
        <f t="shared" si="13"/>
        <v>0</v>
      </c>
      <c r="X123" s="46"/>
    </row>
    <row r="124" spans="1:24" x14ac:dyDescent="0.25">
      <c r="A124" s="7">
        <v>123</v>
      </c>
      <c r="B124" s="48" t="s">
        <v>114</v>
      </c>
      <c r="C124" s="38" t="s">
        <v>115</v>
      </c>
      <c r="D124" s="38" t="s">
        <v>115</v>
      </c>
      <c r="E124" s="38" t="s">
        <v>221</v>
      </c>
      <c r="F124" s="38" t="s">
        <v>236</v>
      </c>
      <c r="G124" s="38" t="s">
        <v>3</v>
      </c>
      <c r="H124" s="7" t="s">
        <v>307</v>
      </c>
      <c r="I124" s="7">
        <v>1000</v>
      </c>
      <c r="J124" s="7">
        <v>1000</v>
      </c>
      <c r="K124" s="7">
        <v>2</v>
      </c>
      <c r="L124" s="7" t="s">
        <v>4</v>
      </c>
      <c r="M124" s="2">
        <f t="shared" si="7"/>
        <v>2000</v>
      </c>
      <c r="N124" s="7">
        <v>0</v>
      </c>
      <c r="O124" s="5">
        <f t="shared" si="8"/>
        <v>2000</v>
      </c>
      <c r="P124" s="4">
        <f t="shared" si="9"/>
        <v>360</v>
      </c>
      <c r="Q124" s="2">
        <f t="shared" si="10"/>
        <v>2360</v>
      </c>
      <c r="R124" s="7">
        <v>0</v>
      </c>
      <c r="S124" s="49">
        <f t="shared" si="11"/>
        <v>2360</v>
      </c>
      <c r="T124" s="49">
        <v>2360</v>
      </c>
      <c r="U124" s="4">
        <f t="shared" si="12"/>
        <v>0</v>
      </c>
      <c r="V124" s="49">
        <v>2360</v>
      </c>
      <c r="W124" s="49">
        <f t="shared" si="13"/>
        <v>0</v>
      </c>
      <c r="X124" s="46"/>
    </row>
    <row r="125" spans="1:24" x14ac:dyDescent="0.25">
      <c r="A125" s="7">
        <v>124</v>
      </c>
      <c r="B125" s="48" t="s">
        <v>66</v>
      </c>
      <c r="C125" s="38" t="s">
        <v>67</v>
      </c>
      <c r="D125" s="38" t="s">
        <v>67</v>
      </c>
      <c r="E125" s="38" t="s">
        <v>65</v>
      </c>
      <c r="F125" s="38" t="s">
        <v>237</v>
      </c>
      <c r="G125" s="38" t="s">
        <v>3</v>
      </c>
      <c r="H125" s="7" t="s">
        <v>307</v>
      </c>
      <c r="I125" s="7">
        <v>1000</v>
      </c>
      <c r="J125" s="7">
        <v>1233</v>
      </c>
      <c r="K125" s="7">
        <v>2</v>
      </c>
      <c r="L125" s="7" t="s">
        <v>4</v>
      </c>
      <c r="M125" s="2">
        <f t="shared" si="7"/>
        <v>2466</v>
      </c>
      <c r="N125" s="7">
        <v>0</v>
      </c>
      <c r="O125" s="5">
        <f t="shared" si="8"/>
        <v>2466</v>
      </c>
      <c r="P125" s="4">
        <f t="shared" si="9"/>
        <v>443.88</v>
      </c>
      <c r="Q125" s="2">
        <f t="shared" si="10"/>
        <v>2909.88</v>
      </c>
      <c r="R125" s="7">
        <v>0</v>
      </c>
      <c r="S125" s="49">
        <f t="shared" si="11"/>
        <v>2909.88</v>
      </c>
      <c r="T125" s="49">
        <v>2909.88</v>
      </c>
      <c r="U125" s="4">
        <f t="shared" si="12"/>
        <v>0</v>
      </c>
      <c r="V125" s="49">
        <v>2909.88</v>
      </c>
      <c r="W125" s="49">
        <f t="shared" si="13"/>
        <v>0</v>
      </c>
      <c r="X125" s="46"/>
    </row>
    <row r="126" spans="1:24" x14ac:dyDescent="0.25">
      <c r="A126" s="7">
        <v>125</v>
      </c>
      <c r="B126" s="48" t="s">
        <v>27</v>
      </c>
      <c r="C126" s="38" t="s">
        <v>199</v>
      </c>
      <c r="D126" s="38" t="s">
        <v>138</v>
      </c>
      <c r="E126" s="38" t="s">
        <v>373</v>
      </c>
      <c r="F126" s="38" t="s">
        <v>239</v>
      </c>
      <c r="G126" s="38" t="s">
        <v>3</v>
      </c>
      <c r="H126" s="7" t="s">
        <v>117</v>
      </c>
      <c r="I126" s="7">
        <v>5000</v>
      </c>
      <c r="J126" s="7">
        <v>5000</v>
      </c>
      <c r="K126" s="7">
        <v>1.5</v>
      </c>
      <c r="L126" s="7" t="s">
        <v>4</v>
      </c>
      <c r="M126" s="2">
        <f t="shared" si="7"/>
        <v>7500</v>
      </c>
      <c r="N126" s="7">
        <v>0</v>
      </c>
      <c r="O126" s="5">
        <f t="shared" si="8"/>
        <v>7500</v>
      </c>
      <c r="P126" s="4">
        <f t="shared" si="9"/>
        <v>1350</v>
      </c>
      <c r="Q126" s="2">
        <f t="shared" si="10"/>
        <v>8850</v>
      </c>
      <c r="R126" s="7">
        <v>-399.73</v>
      </c>
      <c r="S126" s="49">
        <f t="shared" si="11"/>
        <v>8450.27</v>
      </c>
      <c r="T126" s="49">
        <v>8450.27</v>
      </c>
      <c r="U126" s="4">
        <f t="shared" si="12"/>
        <v>0</v>
      </c>
      <c r="V126" s="49">
        <v>8450.27</v>
      </c>
      <c r="W126" s="49">
        <f t="shared" si="13"/>
        <v>0</v>
      </c>
      <c r="X126" s="46"/>
    </row>
    <row r="127" spans="1:24" x14ac:dyDescent="0.25">
      <c r="A127" s="7">
        <v>126</v>
      </c>
      <c r="B127" s="48" t="s">
        <v>296</v>
      </c>
      <c r="C127" s="38" t="s">
        <v>297</v>
      </c>
      <c r="D127" s="38" t="s">
        <v>297</v>
      </c>
      <c r="E127" s="38" t="s">
        <v>441</v>
      </c>
      <c r="F127" s="38" t="s">
        <v>240</v>
      </c>
      <c r="G127" s="38" t="s">
        <v>3</v>
      </c>
      <c r="H127" s="7" t="s">
        <v>307</v>
      </c>
      <c r="I127" s="7">
        <v>1000</v>
      </c>
      <c r="J127" s="7">
        <v>2515</v>
      </c>
      <c r="K127" s="7">
        <v>2</v>
      </c>
      <c r="L127" s="7" t="s">
        <v>4</v>
      </c>
      <c r="M127" s="2">
        <f t="shared" si="7"/>
        <v>5030</v>
      </c>
      <c r="N127" s="7">
        <v>0</v>
      </c>
      <c r="O127" s="5">
        <f t="shared" si="8"/>
        <v>5030</v>
      </c>
      <c r="P127" s="4">
        <f t="shared" si="9"/>
        <v>905.4</v>
      </c>
      <c r="Q127" s="2">
        <f t="shared" si="10"/>
        <v>5935.4</v>
      </c>
      <c r="R127" s="7">
        <v>-0.08</v>
      </c>
      <c r="S127" s="49">
        <f t="shared" si="11"/>
        <v>5935.32</v>
      </c>
      <c r="T127" s="49">
        <v>5935.32</v>
      </c>
      <c r="U127" s="4">
        <f t="shared" si="12"/>
        <v>0</v>
      </c>
      <c r="V127" s="49">
        <v>5935.32</v>
      </c>
      <c r="W127" s="49">
        <f t="shared" si="13"/>
        <v>0</v>
      </c>
      <c r="X127" s="46"/>
    </row>
    <row r="128" spans="1:24" x14ac:dyDescent="0.25">
      <c r="A128" s="7">
        <v>127</v>
      </c>
      <c r="B128" s="48" t="s">
        <v>160</v>
      </c>
      <c r="C128" s="38" t="s">
        <v>102</v>
      </c>
      <c r="D128" s="38" t="s">
        <v>102</v>
      </c>
      <c r="E128" s="38" t="s">
        <v>290</v>
      </c>
      <c r="F128" s="38" t="s">
        <v>237</v>
      </c>
      <c r="G128" s="38" t="s">
        <v>3</v>
      </c>
      <c r="H128" s="7" t="s">
        <v>117</v>
      </c>
      <c r="I128" s="7">
        <v>1000</v>
      </c>
      <c r="J128" s="7">
        <v>1000</v>
      </c>
      <c r="K128" s="7">
        <v>1.5</v>
      </c>
      <c r="L128" s="7" t="s">
        <v>4</v>
      </c>
      <c r="M128" s="2">
        <f t="shared" si="7"/>
        <v>1500</v>
      </c>
      <c r="N128" s="7">
        <v>0</v>
      </c>
      <c r="O128" s="5">
        <f t="shared" si="8"/>
        <v>1500</v>
      </c>
      <c r="P128" s="4">
        <f t="shared" si="9"/>
        <v>270</v>
      </c>
      <c r="Q128" s="2">
        <f t="shared" si="10"/>
        <v>1770</v>
      </c>
      <c r="R128" s="7">
        <v>0.33</v>
      </c>
      <c r="S128" s="49">
        <f t="shared" si="11"/>
        <v>1770.33</v>
      </c>
      <c r="T128" s="49">
        <v>1770.33</v>
      </c>
      <c r="U128" s="4">
        <f t="shared" si="12"/>
        <v>0</v>
      </c>
      <c r="V128" s="49">
        <v>1770.33</v>
      </c>
      <c r="W128" s="49">
        <f t="shared" si="13"/>
        <v>0</v>
      </c>
      <c r="X128" s="46"/>
    </row>
    <row r="129" spans="1:24" x14ac:dyDescent="0.25">
      <c r="A129" s="7">
        <v>128</v>
      </c>
      <c r="B129" s="48" t="s">
        <v>500</v>
      </c>
      <c r="C129" s="38" t="s">
        <v>501</v>
      </c>
      <c r="D129" s="38" t="s">
        <v>501</v>
      </c>
      <c r="E129" s="38" t="s">
        <v>502</v>
      </c>
      <c r="F129" s="38" t="s">
        <v>242</v>
      </c>
      <c r="G129" s="38" t="s">
        <v>3</v>
      </c>
      <c r="H129" s="7" t="s">
        <v>307</v>
      </c>
      <c r="I129" s="7">
        <v>1000</v>
      </c>
      <c r="J129" s="7">
        <v>1159</v>
      </c>
      <c r="K129" s="7">
        <v>2</v>
      </c>
      <c r="L129" s="7" t="s">
        <v>4</v>
      </c>
      <c r="M129" s="2">
        <f t="shared" ref="M129:M139" si="14">J129*K129</f>
        <v>2318</v>
      </c>
      <c r="N129" s="7">
        <v>0</v>
      </c>
      <c r="O129" s="5">
        <f t="shared" ref="O129:O139" si="15">M129-N129</f>
        <v>2318</v>
      </c>
      <c r="P129" s="4">
        <f t="shared" si="9"/>
        <v>417.24</v>
      </c>
      <c r="Q129" s="2">
        <f t="shared" si="10"/>
        <v>2735.24</v>
      </c>
      <c r="R129" s="7">
        <v>-8591.74</v>
      </c>
      <c r="S129" s="49">
        <f t="shared" si="11"/>
        <v>-5856.5</v>
      </c>
      <c r="T129" s="49">
        <v>-5856.5</v>
      </c>
      <c r="U129" s="4">
        <f t="shared" si="12"/>
        <v>0</v>
      </c>
      <c r="V129" s="49">
        <v>-5856.5</v>
      </c>
      <c r="W129" s="49">
        <f t="shared" si="13"/>
        <v>0</v>
      </c>
      <c r="X129" s="46"/>
    </row>
    <row r="130" spans="1:24" x14ac:dyDescent="0.25">
      <c r="A130" s="7">
        <v>129</v>
      </c>
      <c r="B130" s="48" t="s">
        <v>463</v>
      </c>
      <c r="C130" s="38" t="s">
        <v>464</v>
      </c>
      <c r="D130" s="38" t="s">
        <v>465</v>
      </c>
      <c r="E130" s="38" t="s">
        <v>466</v>
      </c>
      <c r="F130" s="38" t="s">
        <v>236</v>
      </c>
      <c r="G130" s="38" t="s">
        <v>3</v>
      </c>
      <c r="H130" s="7" t="s">
        <v>307</v>
      </c>
      <c r="I130" s="7">
        <v>650</v>
      </c>
      <c r="J130" s="7">
        <v>650</v>
      </c>
      <c r="K130" s="7">
        <v>2</v>
      </c>
      <c r="L130" s="7" t="s">
        <v>4</v>
      </c>
      <c r="M130" s="2">
        <f t="shared" si="14"/>
        <v>1300</v>
      </c>
      <c r="N130" s="7">
        <v>0</v>
      </c>
      <c r="O130" s="5">
        <f t="shared" si="15"/>
        <v>1300</v>
      </c>
      <c r="P130" s="4">
        <f t="shared" ref="P130:P139" si="16">O130*18%</f>
        <v>234</v>
      </c>
      <c r="Q130" s="2">
        <f t="shared" ref="Q130:Q139" si="17">SUM(O130:P130)</f>
        <v>1534</v>
      </c>
      <c r="R130" s="7">
        <v>-18407.939999999999</v>
      </c>
      <c r="S130" s="49">
        <f t="shared" ref="S130:S139" si="18">Q130+R130</f>
        <v>-16873.939999999999</v>
      </c>
      <c r="T130" s="49">
        <v>-16873.939999999999</v>
      </c>
      <c r="U130" s="4">
        <f t="shared" ref="U130:U139" si="19">S130-T130</f>
        <v>0</v>
      </c>
      <c r="V130" s="49">
        <v>-16873.939999999999</v>
      </c>
      <c r="W130" s="49">
        <f t="shared" ref="W130:W139" si="20">ROUND(S130-V130,2)</f>
        <v>0</v>
      </c>
      <c r="X130" s="46"/>
    </row>
    <row r="131" spans="1:24" x14ac:dyDescent="0.25">
      <c r="A131" s="7">
        <v>130</v>
      </c>
      <c r="B131" s="48" t="s">
        <v>407</v>
      </c>
      <c r="C131" s="38" t="s">
        <v>408</v>
      </c>
      <c r="D131" s="38" t="s">
        <v>408</v>
      </c>
      <c r="E131" s="38" t="s">
        <v>409</v>
      </c>
      <c r="F131" s="38" t="s">
        <v>237</v>
      </c>
      <c r="G131" s="38" t="s">
        <v>3</v>
      </c>
      <c r="H131" s="7" t="s">
        <v>307</v>
      </c>
      <c r="I131" s="7">
        <v>1000</v>
      </c>
      <c r="J131" s="7">
        <v>3046</v>
      </c>
      <c r="K131" s="7">
        <v>2</v>
      </c>
      <c r="L131" s="7" t="s">
        <v>4</v>
      </c>
      <c r="M131" s="2">
        <f t="shared" si="14"/>
        <v>6092</v>
      </c>
      <c r="N131" s="7">
        <v>0</v>
      </c>
      <c r="O131" s="5">
        <f t="shared" si="15"/>
        <v>6092</v>
      </c>
      <c r="P131" s="4">
        <f t="shared" si="16"/>
        <v>1096.56</v>
      </c>
      <c r="Q131" s="2">
        <f t="shared" si="17"/>
        <v>7188.5599999999995</v>
      </c>
      <c r="R131" s="7">
        <v>-21876.74</v>
      </c>
      <c r="S131" s="49">
        <f t="shared" si="18"/>
        <v>-14688.180000000002</v>
      </c>
      <c r="T131" s="49">
        <v>-14688.18</v>
      </c>
      <c r="U131" s="4">
        <f t="shared" si="19"/>
        <v>0</v>
      </c>
      <c r="V131" s="49">
        <v>-14688.18</v>
      </c>
      <c r="W131" s="49">
        <f t="shared" si="20"/>
        <v>0</v>
      </c>
      <c r="X131" s="46"/>
    </row>
    <row r="132" spans="1:24" x14ac:dyDescent="0.25">
      <c r="A132" s="7">
        <v>131</v>
      </c>
      <c r="B132" s="48" t="s">
        <v>210</v>
      </c>
      <c r="C132" s="38" t="s">
        <v>225</v>
      </c>
      <c r="D132" s="38" t="s">
        <v>226</v>
      </c>
      <c r="E132" s="38" t="s">
        <v>252</v>
      </c>
      <c r="F132" s="38" t="s">
        <v>236</v>
      </c>
      <c r="G132" s="38" t="s">
        <v>3</v>
      </c>
      <c r="H132" s="7" t="s">
        <v>117</v>
      </c>
      <c r="I132" s="7">
        <v>1000</v>
      </c>
      <c r="J132" s="7">
        <v>1019</v>
      </c>
      <c r="K132" s="7">
        <v>2</v>
      </c>
      <c r="L132" s="7" t="s">
        <v>4</v>
      </c>
      <c r="M132" s="2">
        <f t="shared" si="14"/>
        <v>2038</v>
      </c>
      <c r="N132" s="7">
        <v>0</v>
      </c>
      <c r="O132" s="5">
        <f t="shared" si="15"/>
        <v>2038</v>
      </c>
      <c r="P132" s="4">
        <f t="shared" si="16"/>
        <v>366.84</v>
      </c>
      <c r="Q132" s="2">
        <f t="shared" si="17"/>
        <v>2404.84</v>
      </c>
      <c r="R132" s="7">
        <v>-0.68</v>
      </c>
      <c r="S132" s="49">
        <f t="shared" si="18"/>
        <v>2404.1600000000003</v>
      </c>
      <c r="T132" s="49">
        <v>2404.16</v>
      </c>
      <c r="U132" s="4">
        <f t="shared" si="19"/>
        <v>0</v>
      </c>
      <c r="V132" s="49">
        <v>2404.16</v>
      </c>
      <c r="W132" s="49">
        <f t="shared" si="20"/>
        <v>0</v>
      </c>
      <c r="X132" s="46"/>
    </row>
    <row r="133" spans="1:24" x14ac:dyDescent="0.25">
      <c r="A133" s="7">
        <v>132</v>
      </c>
      <c r="B133" s="48" t="s">
        <v>543</v>
      </c>
      <c r="C133" s="38" t="s">
        <v>547</v>
      </c>
      <c r="D133" s="38" t="s">
        <v>547</v>
      </c>
      <c r="E133" s="38" t="s">
        <v>546</v>
      </c>
      <c r="F133" s="38" t="s">
        <v>242</v>
      </c>
      <c r="G133" s="38" t="s">
        <v>3</v>
      </c>
      <c r="H133" s="7" t="s">
        <v>549</v>
      </c>
      <c r="I133" s="7">
        <v>500</v>
      </c>
      <c r="J133" s="7">
        <v>500</v>
      </c>
      <c r="K133" s="7">
        <v>5</v>
      </c>
      <c r="L133" s="7" t="s">
        <v>4</v>
      </c>
      <c r="M133" s="2">
        <f t="shared" si="14"/>
        <v>2500</v>
      </c>
      <c r="N133" s="7">
        <v>0</v>
      </c>
      <c r="O133" s="5">
        <f t="shared" si="15"/>
        <v>2500</v>
      </c>
      <c r="P133" s="4">
        <f t="shared" si="16"/>
        <v>450</v>
      </c>
      <c r="Q133" s="2">
        <f t="shared" si="17"/>
        <v>2950</v>
      </c>
      <c r="R133" s="7">
        <v>-10922.58</v>
      </c>
      <c r="S133" s="49">
        <f t="shared" si="18"/>
        <v>-7972.58</v>
      </c>
      <c r="T133" s="49">
        <v>-7972.58</v>
      </c>
      <c r="U133" s="4">
        <f t="shared" si="19"/>
        <v>0</v>
      </c>
      <c r="V133" s="49">
        <v>-7972.58</v>
      </c>
      <c r="W133" s="49">
        <f t="shared" si="20"/>
        <v>0</v>
      </c>
      <c r="X133" s="46"/>
    </row>
    <row r="134" spans="1:24" x14ac:dyDescent="0.25">
      <c r="A134" s="7">
        <v>133</v>
      </c>
      <c r="B134" s="48" t="s">
        <v>611</v>
      </c>
      <c r="C134" s="38" t="s">
        <v>616</v>
      </c>
      <c r="D134" s="38" t="s">
        <v>616</v>
      </c>
      <c r="E134" s="38" t="s">
        <v>612</v>
      </c>
      <c r="F134" s="38" t="s">
        <v>237</v>
      </c>
      <c r="G134" s="38" t="s">
        <v>3</v>
      </c>
      <c r="H134" s="7" t="s">
        <v>549</v>
      </c>
      <c r="I134" s="7">
        <v>500</v>
      </c>
      <c r="J134" s="7">
        <v>500</v>
      </c>
      <c r="K134" s="7">
        <v>5</v>
      </c>
      <c r="L134" s="7" t="s">
        <v>4</v>
      </c>
      <c r="M134" s="2">
        <f t="shared" si="14"/>
        <v>2500</v>
      </c>
      <c r="N134" s="7">
        <v>0</v>
      </c>
      <c r="O134" s="5">
        <f t="shared" si="15"/>
        <v>2500</v>
      </c>
      <c r="P134" s="4">
        <f t="shared" si="16"/>
        <v>450</v>
      </c>
      <c r="Q134" s="2">
        <f t="shared" si="17"/>
        <v>2950</v>
      </c>
      <c r="R134" s="7">
        <v>2030</v>
      </c>
      <c r="S134" s="49">
        <f t="shared" si="18"/>
        <v>4980</v>
      </c>
      <c r="T134" s="49">
        <v>4980</v>
      </c>
      <c r="U134" s="4">
        <f t="shared" si="19"/>
        <v>0</v>
      </c>
      <c r="V134" s="49">
        <v>4980</v>
      </c>
      <c r="W134" s="49">
        <f t="shared" si="20"/>
        <v>0</v>
      </c>
      <c r="X134" s="46"/>
    </row>
    <row r="135" spans="1:24" x14ac:dyDescent="0.25">
      <c r="A135" s="7">
        <v>134</v>
      </c>
      <c r="B135" s="48" t="s">
        <v>628</v>
      </c>
      <c r="C135" s="38" t="s">
        <v>629</v>
      </c>
      <c r="D135" s="38" t="s">
        <v>629</v>
      </c>
      <c r="E135" s="38" t="s">
        <v>634</v>
      </c>
      <c r="F135" s="38" t="s">
        <v>239</v>
      </c>
      <c r="G135" s="38" t="s">
        <v>3</v>
      </c>
      <c r="H135" s="7" t="s">
        <v>549</v>
      </c>
      <c r="I135" s="7">
        <v>500</v>
      </c>
      <c r="J135" s="7">
        <v>500</v>
      </c>
      <c r="K135" s="7">
        <v>4</v>
      </c>
      <c r="L135" s="7" t="s">
        <v>4</v>
      </c>
      <c r="M135" s="2">
        <f t="shared" si="14"/>
        <v>2000</v>
      </c>
      <c r="N135" s="7">
        <v>0</v>
      </c>
      <c r="O135" s="5">
        <f t="shared" si="15"/>
        <v>2000</v>
      </c>
      <c r="P135" s="4">
        <f t="shared" si="16"/>
        <v>360</v>
      </c>
      <c r="Q135" s="2">
        <f t="shared" si="17"/>
        <v>2360</v>
      </c>
      <c r="R135" s="7">
        <v>-4720</v>
      </c>
      <c r="S135" s="49">
        <f t="shared" si="18"/>
        <v>-2360</v>
      </c>
      <c r="T135" s="49">
        <v>-2360</v>
      </c>
      <c r="U135" s="4">
        <f t="shared" si="19"/>
        <v>0</v>
      </c>
      <c r="V135" s="49">
        <v>-2360</v>
      </c>
      <c r="W135" s="49">
        <f t="shared" si="20"/>
        <v>0</v>
      </c>
      <c r="X135" s="46"/>
    </row>
    <row r="136" spans="1:24" x14ac:dyDescent="0.25">
      <c r="A136" s="7">
        <v>135</v>
      </c>
      <c r="B136" s="48" t="s">
        <v>643</v>
      </c>
      <c r="C136" s="38" t="s">
        <v>645</v>
      </c>
      <c r="D136" s="38" t="s">
        <v>645</v>
      </c>
      <c r="E136" s="38" t="s">
        <v>644</v>
      </c>
      <c r="F136" s="38" t="s">
        <v>245</v>
      </c>
      <c r="G136" s="38" t="s">
        <v>3</v>
      </c>
      <c r="H136" s="7" t="s">
        <v>549</v>
      </c>
      <c r="I136" s="7">
        <v>250</v>
      </c>
      <c r="J136" s="7">
        <v>250</v>
      </c>
      <c r="K136" s="7">
        <v>6</v>
      </c>
      <c r="L136" s="7" t="s">
        <v>4</v>
      </c>
      <c r="M136" s="2">
        <f t="shared" si="14"/>
        <v>1500</v>
      </c>
      <c r="N136" s="7">
        <v>0</v>
      </c>
      <c r="O136" s="5">
        <f t="shared" si="15"/>
        <v>1500</v>
      </c>
      <c r="P136" s="4">
        <f t="shared" si="16"/>
        <v>270</v>
      </c>
      <c r="Q136" s="2">
        <f t="shared" si="17"/>
        <v>1770</v>
      </c>
      <c r="R136" s="7">
        <v>-5310</v>
      </c>
      <c r="S136" s="49">
        <f t="shared" si="18"/>
        <v>-3540</v>
      </c>
      <c r="T136" s="49">
        <v>-3540</v>
      </c>
      <c r="U136" s="4">
        <f t="shared" si="19"/>
        <v>0</v>
      </c>
      <c r="V136" s="49">
        <v>-3540</v>
      </c>
      <c r="W136" s="49">
        <f t="shared" si="20"/>
        <v>0</v>
      </c>
      <c r="X136" s="46"/>
    </row>
    <row r="137" spans="1:24" x14ac:dyDescent="0.25">
      <c r="A137" s="7">
        <v>136</v>
      </c>
      <c r="B137" s="48" t="s">
        <v>661</v>
      </c>
      <c r="C137" s="38" t="s">
        <v>314</v>
      </c>
      <c r="D137" s="38" t="s">
        <v>314</v>
      </c>
      <c r="E137" s="38" t="s">
        <v>316</v>
      </c>
      <c r="F137" s="38" t="s">
        <v>237</v>
      </c>
      <c r="G137" s="38" t="s">
        <v>3</v>
      </c>
      <c r="H137" s="7" t="s">
        <v>550</v>
      </c>
      <c r="I137" s="7">
        <v>5000</v>
      </c>
      <c r="J137" s="7">
        <v>5000</v>
      </c>
      <c r="K137" s="7">
        <v>1.1499999999999999</v>
      </c>
      <c r="L137" s="7" t="s">
        <v>4</v>
      </c>
      <c r="M137" s="2">
        <f t="shared" si="14"/>
        <v>5750</v>
      </c>
      <c r="N137" s="7">
        <v>0</v>
      </c>
      <c r="O137" s="5">
        <f t="shared" si="15"/>
        <v>5750</v>
      </c>
      <c r="P137" s="4">
        <f t="shared" si="16"/>
        <v>1035</v>
      </c>
      <c r="Q137" s="2">
        <f t="shared" si="17"/>
        <v>6785</v>
      </c>
      <c r="R137" s="7">
        <v>0</v>
      </c>
      <c r="S137" s="49">
        <f t="shared" si="18"/>
        <v>6785</v>
      </c>
      <c r="T137" s="49">
        <v>6785</v>
      </c>
      <c r="U137" s="4">
        <f t="shared" si="19"/>
        <v>0</v>
      </c>
      <c r="V137" s="49">
        <v>6785</v>
      </c>
      <c r="W137" s="49">
        <f t="shared" si="20"/>
        <v>0</v>
      </c>
      <c r="X137" s="46"/>
    </row>
    <row r="138" spans="1:24" x14ac:dyDescent="0.25">
      <c r="A138" s="7">
        <v>137</v>
      </c>
      <c r="B138" s="48" t="s">
        <v>625</v>
      </c>
      <c r="C138" s="38"/>
      <c r="D138" s="38"/>
      <c r="E138" s="38"/>
      <c r="F138" s="38"/>
      <c r="G138" s="38" t="s">
        <v>3</v>
      </c>
      <c r="H138" s="7" t="s">
        <v>307</v>
      </c>
      <c r="I138" s="7">
        <v>500</v>
      </c>
      <c r="J138" s="7">
        <v>746</v>
      </c>
      <c r="K138" s="7">
        <v>1.5</v>
      </c>
      <c r="L138" s="7" t="s">
        <v>4</v>
      </c>
      <c r="M138" s="2">
        <f t="shared" si="14"/>
        <v>1119</v>
      </c>
      <c r="N138" s="7">
        <v>0</v>
      </c>
      <c r="O138" s="5">
        <f t="shared" si="15"/>
        <v>1119</v>
      </c>
      <c r="P138" s="4">
        <f t="shared" si="16"/>
        <v>201.42</v>
      </c>
      <c r="Q138" s="2">
        <f t="shared" si="17"/>
        <v>1320.42</v>
      </c>
      <c r="R138" s="7">
        <v>-3243.35</v>
      </c>
      <c r="S138" s="49">
        <f t="shared" si="18"/>
        <v>-1922.9299999999998</v>
      </c>
      <c r="T138" s="49">
        <v>-1922.93</v>
      </c>
      <c r="U138" s="4">
        <f t="shared" si="19"/>
        <v>0</v>
      </c>
      <c r="V138" s="49">
        <v>-1922.93</v>
      </c>
      <c r="W138" s="49">
        <f t="shared" si="20"/>
        <v>0</v>
      </c>
      <c r="X138" s="46"/>
    </row>
    <row r="139" spans="1:24" x14ac:dyDescent="0.25">
      <c r="A139" s="7">
        <v>138</v>
      </c>
      <c r="B139" s="48" t="s">
        <v>330</v>
      </c>
      <c r="C139" s="38" t="s">
        <v>331</v>
      </c>
      <c r="D139" s="38" t="s">
        <v>332</v>
      </c>
      <c r="E139" s="38" t="s">
        <v>333</v>
      </c>
      <c r="F139" s="38" t="s">
        <v>237</v>
      </c>
      <c r="G139" s="38" t="s">
        <v>3</v>
      </c>
      <c r="H139" s="7" t="s">
        <v>117</v>
      </c>
      <c r="I139" s="7">
        <v>2500</v>
      </c>
      <c r="J139" s="7">
        <v>2500</v>
      </c>
      <c r="K139" s="7">
        <v>2</v>
      </c>
      <c r="L139" s="7" t="s">
        <v>4</v>
      </c>
      <c r="M139" s="2">
        <f t="shared" si="14"/>
        <v>5000</v>
      </c>
      <c r="N139" s="7">
        <v>0</v>
      </c>
      <c r="O139" s="5">
        <f t="shared" si="15"/>
        <v>5000</v>
      </c>
      <c r="P139" s="4">
        <f t="shared" si="16"/>
        <v>900</v>
      </c>
      <c r="Q139" s="2">
        <f t="shared" si="17"/>
        <v>5900</v>
      </c>
      <c r="R139" s="7">
        <v>20060</v>
      </c>
      <c r="S139" s="49">
        <f t="shared" si="18"/>
        <v>25960</v>
      </c>
      <c r="T139" s="49">
        <v>25960</v>
      </c>
      <c r="U139" s="4">
        <f t="shared" si="19"/>
        <v>0</v>
      </c>
      <c r="V139" s="49">
        <v>25960</v>
      </c>
      <c r="W139" s="49">
        <f t="shared" si="20"/>
        <v>0</v>
      </c>
      <c r="X139" s="46"/>
    </row>
    <row r="140" spans="1:24" x14ac:dyDescent="0.25">
      <c r="A140" s="7"/>
      <c r="B140" s="65"/>
      <c r="C140" s="38"/>
      <c r="D140" s="38"/>
      <c r="E140" s="38"/>
      <c r="F140" s="38"/>
      <c r="G140" s="38"/>
      <c r="H140" s="7"/>
      <c r="I140" s="7"/>
      <c r="J140" s="7"/>
      <c r="K140" s="7"/>
      <c r="L140" s="7"/>
      <c r="M140" s="2"/>
      <c r="N140" s="7"/>
      <c r="O140" s="5"/>
      <c r="P140" s="4"/>
      <c r="Q140" s="2"/>
      <c r="R140" s="7"/>
      <c r="S140" s="49"/>
      <c r="T140" s="49"/>
      <c r="U140" s="4"/>
      <c r="V140" s="49"/>
      <c r="W140" s="49"/>
      <c r="X140" s="46"/>
    </row>
    <row r="141" spans="1:24" x14ac:dyDescent="0.25">
      <c r="A141" s="7"/>
      <c r="B141" s="65"/>
      <c r="C141" s="38"/>
      <c r="D141" s="38"/>
      <c r="E141" s="38"/>
      <c r="F141" s="38"/>
      <c r="G141" s="38"/>
      <c r="H141" s="7"/>
      <c r="I141" s="7"/>
      <c r="J141" s="7"/>
      <c r="K141" s="7"/>
      <c r="L141" s="7"/>
      <c r="M141" s="2"/>
      <c r="N141" s="7"/>
      <c r="O141" s="5"/>
      <c r="P141" s="4"/>
      <c r="Q141" s="2"/>
      <c r="R141" s="7"/>
      <c r="S141" s="49"/>
      <c r="T141" s="49"/>
      <c r="U141" s="4"/>
      <c r="V141" s="49"/>
      <c r="W141" s="49"/>
      <c r="X141" s="46"/>
    </row>
  </sheetData>
  <protectedRanges>
    <protectedRange sqref="A1:V1" name="Range1_1_1_1_1_4_1"/>
  </protectedRange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Q137"/>
  <sheetViews>
    <sheetView topLeftCell="A117" zoomScaleNormal="100" workbookViewId="0">
      <selection activeCell="E127" sqref="E127"/>
    </sheetView>
  </sheetViews>
  <sheetFormatPr defaultColWidth="9.140625" defaultRowHeight="15" x14ac:dyDescent="0.25"/>
  <cols>
    <col min="1" max="1" width="22.140625" style="9" customWidth="1"/>
    <col min="2" max="2" width="31.42578125" style="9" bestFit="1" customWidth="1"/>
    <col min="3" max="3" width="31" style="9" bestFit="1" customWidth="1"/>
    <col min="4" max="17" width="22" style="9" customWidth="1"/>
    <col min="18" max="18" width="9.140625" style="9" customWidth="1"/>
    <col min="19" max="16384" width="9.140625" style="9"/>
  </cols>
  <sheetData>
    <row r="1" spans="1:17" x14ac:dyDescent="0.25">
      <c r="A1" s="43" t="s">
        <v>363</v>
      </c>
      <c r="B1" s="43" t="s">
        <v>522</v>
      </c>
      <c r="C1" s="43" t="s">
        <v>523</v>
      </c>
      <c r="D1" s="43" t="s">
        <v>364</v>
      </c>
      <c r="E1" s="43" t="s">
        <v>0</v>
      </c>
      <c r="F1" s="43" t="s">
        <v>524</v>
      </c>
      <c r="G1" s="43" t="s">
        <v>525</v>
      </c>
      <c r="H1" s="43" t="s">
        <v>526</v>
      </c>
      <c r="I1" s="43" t="s">
        <v>527</v>
      </c>
      <c r="J1" s="43" t="s">
        <v>528</v>
      </c>
      <c r="K1" s="43" t="s">
        <v>529</v>
      </c>
      <c r="L1" s="43" t="s">
        <v>530</v>
      </c>
      <c r="M1" s="43" t="s">
        <v>531</v>
      </c>
      <c r="N1" s="43" t="s">
        <v>532</v>
      </c>
      <c r="O1" s="43" t="s">
        <v>533</v>
      </c>
      <c r="P1" s="43" t="s">
        <v>534</v>
      </c>
      <c r="Q1" s="43" t="s">
        <v>535</v>
      </c>
    </row>
    <row r="2" spans="1:17" x14ac:dyDescent="0.25">
      <c r="A2" s="9" t="s">
        <v>190</v>
      </c>
      <c r="B2" s="9" t="s">
        <v>195</v>
      </c>
      <c r="C2" s="9" t="s">
        <v>195</v>
      </c>
      <c r="D2" s="9" t="s">
        <v>189</v>
      </c>
      <c r="E2" s="9" t="s">
        <v>237</v>
      </c>
      <c r="F2" s="9" t="s">
        <v>3</v>
      </c>
      <c r="G2" s="9" t="s">
        <v>568</v>
      </c>
      <c r="H2" s="9" t="s">
        <v>928</v>
      </c>
      <c r="I2" s="9" t="s">
        <v>569</v>
      </c>
      <c r="J2" s="9" t="s">
        <v>569</v>
      </c>
      <c r="K2" s="9" t="s">
        <v>932</v>
      </c>
      <c r="L2" s="9" t="s">
        <v>570</v>
      </c>
      <c r="M2" s="9" t="s">
        <v>668</v>
      </c>
      <c r="N2" s="9" t="s">
        <v>801</v>
      </c>
      <c r="O2" s="9" t="s">
        <v>933</v>
      </c>
      <c r="P2" s="9" t="s">
        <v>571</v>
      </c>
      <c r="Q2" s="9" t="s">
        <v>572</v>
      </c>
    </row>
    <row r="3" spans="1:17" x14ac:dyDescent="0.25">
      <c r="A3" s="9" t="s">
        <v>397</v>
      </c>
      <c r="B3" s="9" t="s">
        <v>398</v>
      </c>
      <c r="C3" s="9" t="s">
        <v>399</v>
      </c>
      <c r="D3" s="9" t="s">
        <v>400</v>
      </c>
      <c r="E3" s="9" t="s">
        <v>237</v>
      </c>
      <c r="F3" s="9" t="s">
        <v>3</v>
      </c>
      <c r="G3" s="9" t="s">
        <v>568</v>
      </c>
      <c r="H3" s="9" t="s">
        <v>928</v>
      </c>
      <c r="I3" s="9" t="s">
        <v>569</v>
      </c>
      <c r="J3" s="9" t="s">
        <v>569</v>
      </c>
      <c r="K3" s="9" t="s">
        <v>932</v>
      </c>
      <c r="L3" s="9" t="s">
        <v>570</v>
      </c>
      <c r="M3" s="9" t="s">
        <v>669</v>
      </c>
      <c r="N3" s="9" t="s">
        <v>802</v>
      </c>
      <c r="O3" s="9" t="s">
        <v>934</v>
      </c>
      <c r="P3" s="9" t="s">
        <v>571</v>
      </c>
      <c r="Q3" s="9" t="s">
        <v>572</v>
      </c>
    </row>
    <row r="4" spans="1:17" x14ac:dyDescent="0.25">
      <c r="A4" s="9" t="s">
        <v>193</v>
      </c>
      <c r="B4" s="9" t="s">
        <v>412</v>
      </c>
      <c r="C4" s="9" t="s">
        <v>284</v>
      </c>
      <c r="D4" s="9" t="s">
        <v>413</v>
      </c>
      <c r="E4" s="9" t="s">
        <v>256</v>
      </c>
      <c r="F4" s="9" t="s">
        <v>3</v>
      </c>
      <c r="G4" s="9" t="s">
        <v>568</v>
      </c>
      <c r="H4" s="9" t="s">
        <v>928</v>
      </c>
      <c r="I4" s="9" t="s">
        <v>569</v>
      </c>
      <c r="J4" s="9" t="s">
        <v>569</v>
      </c>
      <c r="K4" s="9" t="s">
        <v>932</v>
      </c>
      <c r="L4" s="9" t="s">
        <v>570</v>
      </c>
      <c r="M4" s="9" t="s">
        <v>666</v>
      </c>
      <c r="N4" s="9" t="s">
        <v>800</v>
      </c>
      <c r="O4" s="9" t="s">
        <v>935</v>
      </c>
      <c r="P4" s="9" t="s">
        <v>571</v>
      </c>
      <c r="Q4" s="9" t="s">
        <v>572</v>
      </c>
    </row>
    <row r="5" spans="1:17" x14ac:dyDescent="0.25">
      <c r="A5" s="9" t="s">
        <v>388</v>
      </c>
      <c r="B5" s="9" t="s">
        <v>389</v>
      </c>
      <c r="C5" s="9" t="s">
        <v>389</v>
      </c>
      <c r="D5" s="9" t="s">
        <v>390</v>
      </c>
      <c r="E5" s="9" t="s">
        <v>237</v>
      </c>
      <c r="F5" s="9" t="s">
        <v>3</v>
      </c>
      <c r="G5" s="9" t="s">
        <v>568</v>
      </c>
      <c r="H5" s="9" t="s">
        <v>928</v>
      </c>
      <c r="I5" s="9" t="s">
        <v>569</v>
      </c>
      <c r="J5" s="9" t="s">
        <v>569</v>
      </c>
      <c r="K5" s="9" t="s">
        <v>932</v>
      </c>
      <c r="L5" s="9" t="s">
        <v>570</v>
      </c>
      <c r="M5" s="9" t="s">
        <v>670</v>
      </c>
      <c r="N5" s="9" t="s">
        <v>807</v>
      </c>
      <c r="O5" s="9" t="s">
        <v>936</v>
      </c>
      <c r="P5" s="9" t="s">
        <v>571</v>
      </c>
      <c r="Q5" s="9" t="s">
        <v>572</v>
      </c>
    </row>
    <row r="6" spans="1:17" x14ac:dyDescent="0.25">
      <c r="A6" s="9" t="s">
        <v>267</v>
      </c>
      <c r="B6" s="9" t="s">
        <v>268</v>
      </c>
      <c r="C6" s="9" t="s">
        <v>268</v>
      </c>
      <c r="D6" s="9" t="s">
        <v>334</v>
      </c>
      <c r="E6" s="9" t="s">
        <v>245</v>
      </c>
      <c r="F6" s="9" t="s">
        <v>3</v>
      </c>
      <c r="G6" s="9" t="s">
        <v>568</v>
      </c>
      <c r="H6" s="9" t="s">
        <v>928</v>
      </c>
      <c r="I6" s="9" t="s">
        <v>569</v>
      </c>
      <c r="J6" s="9" t="s">
        <v>569</v>
      </c>
      <c r="K6" s="9" t="s">
        <v>932</v>
      </c>
      <c r="L6" s="9" t="s">
        <v>570</v>
      </c>
      <c r="M6" s="9" t="s">
        <v>673</v>
      </c>
      <c r="N6" s="9" t="s">
        <v>803</v>
      </c>
      <c r="O6" s="9" t="s">
        <v>937</v>
      </c>
      <c r="P6" s="9" t="s">
        <v>571</v>
      </c>
      <c r="Q6" s="9" t="s">
        <v>572</v>
      </c>
    </row>
    <row r="7" spans="1:17" x14ac:dyDescent="0.25">
      <c r="A7" s="9" t="s">
        <v>131</v>
      </c>
      <c r="B7" s="9" t="s">
        <v>238</v>
      </c>
      <c r="C7" s="9" t="s">
        <v>132</v>
      </c>
      <c r="D7" s="9" t="s">
        <v>214</v>
      </c>
      <c r="E7" s="9" t="s">
        <v>239</v>
      </c>
      <c r="F7" s="9" t="s">
        <v>3</v>
      </c>
      <c r="G7" s="9" t="s">
        <v>568</v>
      </c>
      <c r="H7" s="9" t="s">
        <v>928</v>
      </c>
      <c r="I7" s="9" t="s">
        <v>569</v>
      </c>
      <c r="J7" s="9" t="s">
        <v>569</v>
      </c>
      <c r="K7" s="9" t="s">
        <v>932</v>
      </c>
      <c r="L7" s="9" t="s">
        <v>570</v>
      </c>
      <c r="M7" s="9" t="s">
        <v>667</v>
      </c>
      <c r="N7" s="9" t="s">
        <v>804</v>
      </c>
      <c r="O7" s="9" t="s">
        <v>938</v>
      </c>
      <c r="P7" s="9" t="s">
        <v>571</v>
      </c>
      <c r="Q7" s="9" t="s">
        <v>572</v>
      </c>
    </row>
    <row r="8" spans="1:17" x14ac:dyDescent="0.25">
      <c r="A8" s="9" t="s">
        <v>939</v>
      </c>
      <c r="B8" s="9" t="s">
        <v>415</v>
      </c>
      <c r="C8" s="9" t="s">
        <v>416</v>
      </c>
      <c r="D8" s="9" t="s">
        <v>940</v>
      </c>
      <c r="E8" s="9" t="s">
        <v>249</v>
      </c>
      <c r="F8" s="9" t="s">
        <v>3</v>
      </c>
      <c r="G8" s="9" t="s">
        <v>568</v>
      </c>
      <c r="H8" s="9" t="s">
        <v>928</v>
      </c>
      <c r="I8" s="9" t="s">
        <v>569</v>
      </c>
      <c r="J8" s="9" t="s">
        <v>569</v>
      </c>
      <c r="K8" s="9" t="s">
        <v>932</v>
      </c>
      <c r="L8" s="9" t="s">
        <v>570</v>
      </c>
      <c r="M8" s="9" t="s">
        <v>674</v>
      </c>
      <c r="N8" s="9" t="s">
        <v>805</v>
      </c>
      <c r="O8" s="9" t="s">
        <v>941</v>
      </c>
      <c r="P8" s="9" t="s">
        <v>571</v>
      </c>
      <c r="Q8" s="9" t="s">
        <v>572</v>
      </c>
    </row>
    <row r="9" spans="1:17" x14ac:dyDescent="0.25">
      <c r="A9" s="9" t="s">
        <v>451</v>
      </c>
      <c r="B9" s="9" t="s">
        <v>452</v>
      </c>
      <c r="C9" s="9" t="s">
        <v>452</v>
      </c>
      <c r="D9" s="9" t="s">
        <v>453</v>
      </c>
      <c r="E9" s="9" t="s">
        <v>242</v>
      </c>
      <c r="F9" s="9" t="s">
        <v>3</v>
      </c>
      <c r="G9" s="9" t="s">
        <v>568</v>
      </c>
      <c r="H9" s="9" t="s">
        <v>928</v>
      </c>
      <c r="I9" s="9" t="s">
        <v>569</v>
      </c>
      <c r="J9" s="9" t="s">
        <v>569</v>
      </c>
      <c r="K9" s="9" t="s">
        <v>932</v>
      </c>
      <c r="L9" s="9" t="s">
        <v>570</v>
      </c>
      <c r="M9" s="9" t="s">
        <v>671</v>
      </c>
      <c r="N9" s="9" t="s">
        <v>808</v>
      </c>
      <c r="O9" s="9" t="s">
        <v>942</v>
      </c>
      <c r="P9" s="9" t="s">
        <v>571</v>
      </c>
      <c r="Q9" s="9" t="s">
        <v>572</v>
      </c>
    </row>
    <row r="10" spans="1:17" x14ac:dyDescent="0.25">
      <c r="A10" s="9" t="s">
        <v>133</v>
      </c>
      <c r="B10" s="9" t="s">
        <v>134</v>
      </c>
      <c r="C10" s="9" t="s">
        <v>134</v>
      </c>
      <c r="D10" s="9" t="s">
        <v>212</v>
      </c>
      <c r="E10" s="9" t="s">
        <v>241</v>
      </c>
      <c r="F10" s="9" t="s">
        <v>3</v>
      </c>
      <c r="G10" s="9" t="s">
        <v>590</v>
      </c>
      <c r="H10" s="9" t="s">
        <v>928</v>
      </c>
      <c r="I10" s="9" t="s">
        <v>569</v>
      </c>
      <c r="J10" s="9" t="s">
        <v>569</v>
      </c>
      <c r="K10" s="9" t="s">
        <v>932</v>
      </c>
      <c r="L10" s="9" t="s">
        <v>570</v>
      </c>
      <c r="M10" s="9" t="s">
        <v>677</v>
      </c>
      <c r="N10" s="9" t="s">
        <v>811</v>
      </c>
      <c r="O10" s="9" t="s">
        <v>943</v>
      </c>
      <c r="P10" s="9" t="s">
        <v>571</v>
      </c>
      <c r="Q10" s="9" t="s">
        <v>572</v>
      </c>
    </row>
    <row r="11" spans="1:17" x14ac:dyDescent="0.25">
      <c r="A11" s="9" t="s">
        <v>125</v>
      </c>
      <c r="B11" s="9" t="s">
        <v>126</v>
      </c>
      <c r="C11" s="9" t="s">
        <v>126</v>
      </c>
      <c r="D11" s="9" t="s">
        <v>124</v>
      </c>
      <c r="E11" s="9" t="s">
        <v>242</v>
      </c>
      <c r="F11" s="9" t="s">
        <v>3</v>
      </c>
      <c r="G11" s="9" t="s">
        <v>568</v>
      </c>
      <c r="H11" s="9" t="s">
        <v>928</v>
      </c>
      <c r="I11" s="9" t="s">
        <v>569</v>
      </c>
      <c r="J11" s="9" t="s">
        <v>569</v>
      </c>
      <c r="K11" s="9" t="s">
        <v>932</v>
      </c>
      <c r="L11" s="9" t="s">
        <v>570</v>
      </c>
      <c r="M11" s="9" t="s">
        <v>675</v>
      </c>
      <c r="N11" s="9" t="s">
        <v>809</v>
      </c>
      <c r="O11" s="9" t="s">
        <v>944</v>
      </c>
      <c r="P11" s="9" t="s">
        <v>571</v>
      </c>
      <c r="Q11" s="9" t="s">
        <v>572</v>
      </c>
    </row>
    <row r="12" spans="1:17" x14ac:dyDescent="0.25">
      <c r="A12" s="9" t="s">
        <v>135</v>
      </c>
      <c r="B12" s="9" t="s">
        <v>136</v>
      </c>
      <c r="C12" s="9" t="s">
        <v>136</v>
      </c>
      <c r="D12" s="9" t="s">
        <v>213</v>
      </c>
      <c r="E12" s="9" t="s">
        <v>236</v>
      </c>
      <c r="F12" s="9" t="s">
        <v>3</v>
      </c>
      <c r="G12" s="9" t="s">
        <v>568</v>
      </c>
      <c r="H12" s="9" t="s">
        <v>928</v>
      </c>
      <c r="I12" s="9" t="s">
        <v>569</v>
      </c>
      <c r="J12" s="9" t="s">
        <v>569</v>
      </c>
      <c r="K12" s="9" t="s">
        <v>932</v>
      </c>
      <c r="L12" s="9" t="s">
        <v>570</v>
      </c>
      <c r="M12" s="9" t="s">
        <v>636</v>
      </c>
      <c r="N12" s="9" t="s">
        <v>672</v>
      </c>
      <c r="O12" s="9" t="s">
        <v>812</v>
      </c>
      <c r="P12" s="9" t="s">
        <v>571</v>
      </c>
      <c r="Q12" s="9" t="s">
        <v>572</v>
      </c>
    </row>
    <row r="13" spans="1:17" x14ac:dyDescent="0.25">
      <c r="A13" s="9" t="s">
        <v>302</v>
      </c>
      <c r="B13" s="9" t="s">
        <v>303</v>
      </c>
      <c r="C13" s="9" t="s">
        <v>304</v>
      </c>
      <c r="D13" s="9" t="s">
        <v>305</v>
      </c>
      <c r="E13" s="9" t="s">
        <v>242</v>
      </c>
      <c r="F13" s="9" t="s">
        <v>3</v>
      </c>
      <c r="G13" s="9" t="s">
        <v>568</v>
      </c>
      <c r="H13" s="9" t="s">
        <v>928</v>
      </c>
      <c r="I13" s="9" t="s">
        <v>569</v>
      </c>
      <c r="J13" s="9" t="s">
        <v>569</v>
      </c>
      <c r="K13" s="9" t="s">
        <v>932</v>
      </c>
      <c r="L13" s="9" t="s">
        <v>570</v>
      </c>
      <c r="M13" s="9" t="s">
        <v>600</v>
      </c>
      <c r="N13" s="9" t="s">
        <v>601</v>
      </c>
      <c r="O13" s="9" t="s">
        <v>621</v>
      </c>
      <c r="P13" s="9" t="s">
        <v>571</v>
      </c>
      <c r="Q13" s="9" t="s">
        <v>572</v>
      </c>
    </row>
    <row r="14" spans="1:17" x14ac:dyDescent="0.25">
      <c r="A14" s="9" t="s">
        <v>306</v>
      </c>
      <c r="B14" s="9" t="s">
        <v>314</v>
      </c>
      <c r="C14" s="9" t="s">
        <v>315</v>
      </c>
      <c r="D14" s="9" t="s">
        <v>316</v>
      </c>
      <c r="E14" s="9" t="s">
        <v>237</v>
      </c>
      <c r="F14" s="9" t="s">
        <v>3</v>
      </c>
      <c r="G14" s="9" t="s">
        <v>568</v>
      </c>
      <c r="H14" s="9" t="s">
        <v>928</v>
      </c>
      <c r="I14" s="9" t="s">
        <v>569</v>
      </c>
      <c r="J14" s="9" t="s">
        <v>569</v>
      </c>
      <c r="K14" s="9" t="s">
        <v>932</v>
      </c>
      <c r="L14" s="9" t="s">
        <v>570</v>
      </c>
      <c r="M14" s="9" t="s">
        <v>676</v>
      </c>
      <c r="N14" s="9" t="s">
        <v>810</v>
      </c>
      <c r="O14" s="9" t="s">
        <v>945</v>
      </c>
      <c r="P14" s="9" t="s">
        <v>571</v>
      </c>
      <c r="Q14" s="9" t="s">
        <v>572</v>
      </c>
    </row>
    <row r="15" spans="1:17" x14ac:dyDescent="0.25">
      <c r="A15" s="9" t="s">
        <v>377</v>
      </c>
      <c r="B15" s="9" t="s">
        <v>378</v>
      </c>
      <c r="C15" s="9" t="s">
        <v>378</v>
      </c>
      <c r="D15" s="9" t="s">
        <v>379</v>
      </c>
      <c r="E15" s="9" t="s">
        <v>246</v>
      </c>
      <c r="F15" s="9" t="s">
        <v>3</v>
      </c>
      <c r="G15" s="9" t="s">
        <v>568</v>
      </c>
      <c r="H15" s="9" t="s">
        <v>928</v>
      </c>
      <c r="I15" s="9" t="s">
        <v>569</v>
      </c>
      <c r="J15" s="9" t="s">
        <v>569</v>
      </c>
      <c r="K15" s="9" t="s">
        <v>932</v>
      </c>
      <c r="L15" s="9" t="s">
        <v>570</v>
      </c>
      <c r="M15" s="9" t="s">
        <v>663</v>
      </c>
      <c r="N15" s="9" t="s">
        <v>806</v>
      </c>
      <c r="O15" s="9" t="s">
        <v>946</v>
      </c>
      <c r="P15" s="9" t="s">
        <v>571</v>
      </c>
      <c r="Q15" s="9" t="s">
        <v>572</v>
      </c>
    </row>
    <row r="16" spans="1:17" x14ac:dyDescent="0.25">
      <c r="A16" s="9" t="s">
        <v>196</v>
      </c>
      <c r="B16" s="9" t="s">
        <v>197</v>
      </c>
      <c r="C16" s="9" t="s">
        <v>197</v>
      </c>
      <c r="D16" s="9" t="s">
        <v>31</v>
      </c>
      <c r="E16" s="9" t="s">
        <v>243</v>
      </c>
      <c r="F16" s="9" t="s">
        <v>3</v>
      </c>
      <c r="G16" s="9" t="s">
        <v>568</v>
      </c>
      <c r="H16" s="9" t="s">
        <v>928</v>
      </c>
      <c r="I16" s="9" t="s">
        <v>569</v>
      </c>
      <c r="J16" s="9" t="s">
        <v>569</v>
      </c>
      <c r="K16" s="9" t="s">
        <v>932</v>
      </c>
      <c r="L16" s="9" t="s">
        <v>117</v>
      </c>
      <c r="M16" s="9" t="s">
        <v>684</v>
      </c>
      <c r="N16" s="9" t="s">
        <v>830</v>
      </c>
      <c r="O16" s="9" t="s">
        <v>947</v>
      </c>
      <c r="P16" s="9" t="s">
        <v>580</v>
      </c>
      <c r="Q16" s="9" t="s">
        <v>572</v>
      </c>
    </row>
    <row r="17" spans="1:17" x14ac:dyDescent="0.25">
      <c r="A17" s="9" t="s">
        <v>355</v>
      </c>
      <c r="B17" s="9" t="s">
        <v>297</v>
      </c>
      <c r="C17" s="9" t="s">
        <v>297</v>
      </c>
      <c r="D17" s="9" t="s">
        <v>356</v>
      </c>
      <c r="E17" s="9" t="s">
        <v>240</v>
      </c>
      <c r="F17" s="9" t="s">
        <v>3</v>
      </c>
      <c r="G17" s="9" t="s">
        <v>568</v>
      </c>
      <c r="H17" s="9" t="s">
        <v>928</v>
      </c>
      <c r="I17" s="9" t="s">
        <v>569</v>
      </c>
      <c r="J17" s="9" t="s">
        <v>569</v>
      </c>
      <c r="K17" s="9" t="s">
        <v>932</v>
      </c>
      <c r="L17" s="9" t="s">
        <v>117</v>
      </c>
      <c r="M17" s="9" t="s">
        <v>696</v>
      </c>
      <c r="N17" s="9" t="s">
        <v>852</v>
      </c>
      <c r="O17" s="9" t="s">
        <v>948</v>
      </c>
      <c r="P17" s="9" t="s">
        <v>571</v>
      </c>
      <c r="Q17" s="9" t="s">
        <v>572</v>
      </c>
    </row>
    <row r="18" spans="1:17" x14ac:dyDescent="0.25">
      <c r="A18" s="9" t="s">
        <v>309</v>
      </c>
      <c r="B18" s="9" t="s">
        <v>310</v>
      </c>
      <c r="C18" s="9" t="s">
        <v>311</v>
      </c>
      <c r="D18" s="9" t="s">
        <v>312</v>
      </c>
      <c r="E18" s="9" t="s">
        <v>237</v>
      </c>
      <c r="F18" s="9" t="s">
        <v>3</v>
      </c>
      <c r="G18" s="9" t="s">
        <v>590</v>
      </c>
      <c r="H18" s="9" t="s">
        <v>928</v>
      </c>
      <c r="I18" s="9" t="s">
        <v>569</v>
      </c>
      <c r="J18" s="9" t="s">
        <v>569</v>
      </c>
      <c r="K18" s="9" t="s">
        <v>932</v>
      </c>
      <c r="L18" s="9" t="s">
        <v>117</v>
      </c>
      <c r="M18" s="9" t="s">
        <v>681</v>
      </c>
      <c r="N18" s="9" t="s">
        <v>829</v>
      </c>
      <c r="O18" s="9" t="s">
        <v>949</v>
      </c>
      <c r="P18" s="9" t="s">
        <v>571</v>
      </c>
      <c r="Q18" s="9" t="s">
        <v>572</v>
      </c>
    </row>
    <row r="19" spans="1:17" x14ac:dyDescent="0.25">
      <c r="A19" s="9" t="s">
        <v>285</v>
      </c>
      <c r="B19" s="9" t="s">
        <v>286</v>
      </c>
      <c r="C19" s="9" t="s">
        <v>286</v>
      </c>
      <c r="D19" s="9" t="s">
        <v>287</v>
      </c>
      <c r="E19" s="9" t="s">
        <v>242</v>
      </c>
      <c r="F19" s="9" t="s">
        <v>3</v>
      </c>
      <c r="G19" s="9" t="s">
        <v>568</v>
      </c>
      <c r="H19" s="9" t="s">
        <v>928</v>
      </c>
      <c r="I19" s="9" t="s">
        <v>569</v>
      </c>
      <c r="J19" s="9" t="s">
        <v>569</v>
      </c>
      <c r="K19" s="9" t="s">
        <v>932</v>
      </c>
      <c r="L19" s="9" t="s">
        <v>117</v>
      </c>
      <c r="M19" s="9" t="s">
        <v>950</v>
      </c>
      <c r="N19" s="9" t="s">
        <v>951</v>
      </c>
      <c r="O19" s="9" t="s">
        <v>952</v>
      </c>
      <c r="P19" s="9" t="s">
        <v>571</v>
      </c>
      <c r="Q19" s="9" t="s">
        <v>572</v>
      </c>
    </row>
    <row r="20" spans="1:17" x14ac:dyDescent="0.25">
      <c r="A20" s="9" t="s">
        <v>369</v>
      </c>
      <c r="B20" s="9" t="s">
        <v>370</v>
      </c>
      <c r="C20" s="9" t="s">
        <v>370</v>
      </c>
      <c r="D20" s="9" t="s">
        <v>371</v>
      </c>
      <c r="E20" s="9" t="s">
        <v>245</v>
      </c>
      <c r="F20" s="9" t="s">
        <v>3</v>
      </c>
      <c r="G20" s="9" t="s">
        <v>568</v>
      </c>
      <c r="H20" s="9" t="s">
        <v>928</v>
      </c>
      <c r="I20" s="9" t="s">
        <v>569</v>
      </c>
      <c r="J20" s="9" t="s">
        <v>569</v>
      </c>
      <c r="K20" s="9" t="s">
        <v>932</v>
      </c>
      <c r="L20" s="9" t="s">
        <v>117</v>
      </c>
      <c r="M20" s="9" t="s">
        <v>751</v>
      </c>
      <c r="N20" s="9" t="s">
        <v>820</v>
      </c>
      <c r="O20" s="9" t="s">
        <v>953</v>
      </c>
      <c r="P20" s="9" t="s">
        <v>580</v>
      </c>
      <c r="Q20" s="9" t="s">
        <v>572</v>
      </c>
    </row>
    <row r="21" spans="1:17" x14ac:dyDescent="0.25">
      <c r="A21" s="9" t="s">
        <v>350</v>
      </c>
      <c r="B21" s="9" t="s">
        <v>351</v>
      </c>
      <c r="C21" s="9" t="s">
        <v>351</v>
      </c>
      <c r="D21" s="9" t="s">
        <v>352</v>
      </c>
      <c r="E21" s="9" t="s">
        <v>258</v>
      </c>
      <c r="F21" s="9" t="s">
        <v>3</v>
      </c>
      <c r="G21" s="9" t="s">
        <v>568</v>
      </c>
      <c r="H21" s="9" t="s">
        <v>928</v>
      </c>
      <c r="I21" s="9" t="s">
        <v>569</v>
      </c>
      <c r="J21" s="9" t="s">
        <v>569</v>
      </c>
      <c r="K21" s="9" t="s">
        <v>932</v>
      </c>
      <c r="L21" s="9" t="s">
        <v>117</v>
      </c>
      <c r="M21" s="9" t="s">
        <v>691</v>
      </c>
      <c r="N21" s="9" t="s">
        <v>851</v>
      </c>
      <c r="O21" s="9" t="s">
        <v>954</v>
      </c>
      <c r="P21" s="9" t="s">
        <v>571</v>
      </c>
      <c r="Q21" s="9" t="s">
        <v>572</v>
      </c>
    </row>
    <row r="22" spans="1:17" x14ac:dyDescent="0.25">
      <c r="A22" s="9" t="s">
        <v>168</v>
      </c>
      <c r="B22" s="9" t="s">
        <v>16</v>
      </c>
      <c r="C22" s="9" t="s">
        <v>16</v>
      </c>
      <c r="D22" s="9" t="s">
        <v>15</v>
      </c>
      <c r="E22" s="9" t="s">
        <v>236</v>
      </c>
      <c r="F22" s="9" t="s">
        <v>3</v>
      </c>
      <c r="G22" s="9" t="s">
        <v>590</v>
      </c>
      <c r="H22" s="9" t="s">
        <v>928</v>
      </c>
      <c r="I22" s="9" t="s">
        <v>569</v>
      </c>
      <c r="J22" s="9" t="s">
        <v>569</v>
      </c>
      <c r="K22" s="9" t="s">
        <v>932</v>
      </c>
      <c r="L22" s="9" t="s">
        <v>117</v>
      </c>
      <c r="M22" s="9" t="s">
        <v>707</v>
      </c>
      <c r="N22" s="9" t="s">
        <v>819</v>
      </c>
      <c r="O22" s="9" t="s">
        <v>955</v>
      </c>
      <c r="P22" s="9" t="s">
        <v>571</v>
      </c>
      <c r="Q22" s="9" t="s">
        <v>572</v>
      </c>
    </row>
    <row r="23" spans="1:17" x14ac:dyDescent="0.25">
      <c r="A23" s="9" t="s">
        <v>47</v>
      </c>
      <c r="B23" s="9" t="s">
        <v>48</v>
      </c>
      <c r="C23" s="9" t="s">
        <v>48</v>
      </c>
      <c r="D23" s="9" t="s">
        <v>410</v>
      </c>
      <c r="E23" s="9" t="s">
        <v>240</v>
      </c>
      <c r="F23" s="9" t="s">
        <v>3</v>
      </c>
      <c r="G23" s="9" t="s">
        <v>590</v>
      </c>
      <c r="H23" s="9" t="s">
        <v>928</v>
      </c>
      <c r="I23" s="9" t="s">
        <v>569</v>
      </c>
      <c r="J23" s="9" t="s">
        <v>569</v>
      </c>
      <c r="K23" s="9" t="s">
        <v>932</v>
      </c>
      <c r="L23" s="9" t="s">
        <v>117</v>
      </c>
      <c r="M23" s="9" t="s">
        <v>685</v>
      </c>
      <c r="N23" s="9" t="s">
        <v>821</v>
      </c>
      <c r="O23" s="9" t="s">
        <v>956</v>
      </c>
      <c r="P23" s="9" t="s">
        <v>571</v>
      </c>
      <c r="Q23" s="9" t="s">
        <v>572</v>
      </c>
    </row>
    <row r="24" spans="1:17" x14ac:dyDescent="0.25">
      <c r="A24" s="9" t="s">
        <v>269</v>
      </c>
      <c r="B24" s="9" t="s">
        <v>270</v>
      </c>
      <c r="C24" s="9" t="s">
        <v>270</v>
      </c>
      <c r="D24" s="9" t="s">
        <v>271</v>
      </c>
      <c r="E24" s="9" t="s">
        <v>236</v>
      </c>
      <c r="F24" s="9" t="s">
        <v>3</v>
      </c>
      <c r="G24" s="9" t="s">
        <v>568</v>
      </c>
      <c r="H24" s="9" t="s">
        <v>928</v>
      </c>
      <c r="I24" s="9" t="s">
        <v>569</v>
      </c>
      <c r="J24" s="9" t="s">
        <v>569</v>
      </c>
      <c r="K24" s="9" t="s">
        <v>932</v>
      </c>
      <c r="L24" s="9" t="s">
        <v>117</v>
      </c>
      <c r="M24" s="9" t="s">
        <v>679</v>
      </c>
      <c r="N24" s="9" t="s">
        <v>815</v>
      </c>
      <c r="O24" s="9" t="s">
        <v>957</v>
      </c>
      <c r="P24" s="9" t="s">
        <v>571</v>
      </c>
      <c r="Q24" s="9" t="s">
        <v>572</v>
      </c>
    </row>
    <row r="25" spans="1:17" x14ac:dyDescent="0.25">
      <c r="A25" s="9" t="s">
        <v>391</v>
      </c>
      <c r="B25" s="9" t="s">
        <v>392</v>
      </c>
      <c r="C25" s="9" t="s">
        <v>392</v>
      </c>
      <c r="D25" s="9" t="s">
        <v>393</v>
      </c>
      <c r="E25" s="9" t="s">
        <v>236</v>
      </c>
      <c r="F25" s="9" t="s">
        <v>3</v>
      </c>
      <c r="G25" s="9" t="s">
        <v>568</v>
      </c>
      <c r="H25" s="9" t="s">
        <v>928</v>
      </c>
      <c r="I25" s="9" t="s">
        <v>569</v>
      </c>
      <c r="J25" s="9" t="s">
        <v>569</v>
      </c>
      <c r="K25" s="9" t="s">
        <v>932</v>
      </c>
      <c r="L25" s="9" t="s">
        <v>117</v>
      </c>
      <c r="M25" s="9" t="s">
        <v>695</v>
      </c>
      <c r="N25" s="9" t="s">
        <v>818</v>
      </c>
      <c r="O25" s="9" t="s">
        <v>958</v>
      </c>
      <c r="P25" s="9" t="s">
        <v>571</v>
      </c>
      <c r="Q25" s="9" t="s">
        <v>572</v>
      </c>
    </row>
    <row r="26" spans="1:17" x14ac:dyDescent="0.25">
      <c r="A26" s="9" t="s">
        <v>322</v>
      </c>
      <c r="B26" s="9" t="s">
        <v>323</v>
      </c>
      <c r="C26" s="9" t="s">
        <v>324</v>
      </c>
      <c r="D26" s="9" t="s">
        <v>325</v>
      </c>
      <c r="E26" s="9" t="s">
        <v>248</v>
      </c>
      <c r="F26" s="9" t="s">
        <v>3</v>
      </c>
      <c r="G26" s="9" t="s">
        <v>590</v>
      </c>
      <c r="H26" s="9" t="s">
        <v>928</v>
      </c>
      <c r="I26" s="9" t="s">
        <v>569</v>
      </c>
      <c r="J26" s="9" t="s">
        <v>569</v>
      </c>
      <c r="K26" s="9" t="s">
        <v>932</v>
      </c>
      <c r="L26" s="9" t="s">
        <v>117</v>
      </c>
      <c r="M26" s="9" t="s">
        <v>680</v>
      </c>
      <c r="N26" s="9" t="s">
        <v>822</v>
      </c>
      <c r="O26" s="9" t="s">
        <v>959</v>
      </c>
      <c r="P26" s="9" t="s">
        <v>571</v>
      </c>
      <c r="Q26" s="9" t="s">
        <v>572</v>
      </c>
    </row>
    <row r="27" spans="1:17" x14ac:dyDescent="0.25">
      <c r="A27" s="9" t="s">
        <v>156</v>
      </c>
      <c r="B27" s="9" t="s">
        <v>14</v>
      </c>
      <c r="C27" s="9" t="s">
        <v>14</v>
      </c>
      <c r="D27" s="9" t="s">
        <v>13</v>
      </c>
      <c r="E27" s="9" t="s">
        <v>237</v>
      </c>
      <c r="F27" s="9" t="s">
        <v>3</v>
      </c>
      <c r="G27" s="9" t="s">
        <v>590</v>
      </c>
      <c r="H27" s="9" t="s">
        <v>928</v>
      </c>
      <c r="I27" s="9" t="s">
        <v>569</v>
      </c>
      <c r="J27" s="9" t="s">
        <v>569</v>
      </c>
      <c r="K27" s="9" t="s">
        <v>932</v>
      </c>
      <c r="L27" s="9" t="s">
        <v>117</v>
      </c>
      <c r="M27" s="9" t="s">
        <v>678</v>
      </c>
      <c r="N27" s="9" t="s">
        <v>843</v>
      </c>
      <c r="O27" s="9" t="s">
        <v>960</v>
      </c>
      <c r="P27" s="9" t="s">
        <v>571</v>
      </c>
      <c r="Q27" s="9" t="s">
        <v>572</v>
      </c>
    </row>
    <row r="28" spans="1:17" x14ac:dyDescent="0.25">
      <c r="A28" s="9" t="s">
        <v>8</v>
      </c>
      <c r="B28" s="9" t="s">
        <v>9</v>
      </c>
      <c r="C28" s="9" t="s">
        <v>9</v>
      </c>
      <c r="D28" s="9" t="s">
        <v>7</v>
      </c>
      <c r="E28" s="9" t="s">
        <v>243</v>
      </c>
      <c r="F28" s="9" t="s">
        <v>3</v>
      </c>
      <c r="G28" s="9" t="s">
        <v>568</v>
      </c>
      <c r="H28" s="9" t="s">
        <v>928</v>
      </c>
      <c r="I28" s="9" t="s">
        <v>569</v>
      </c>
      <c r="J28" s="9" t="s">
        <v>569</v>
      </c>
      <c r="K28" s="9" t="s">
        <v>932</v>
      </c>
      <c r="L28" s="9" t="s">
        <v>117</v>
      </c>
      <c r="M28" s="9" t="s">
        <v>716</v>
      </c>
      <c r="N28" s="9" t="s">
        <v>866</v>
      </c>
      <c r="O28" s="9" t="s">
        <v>961</v>
      </c>
      <c r="P28" s="9" t="s">
        <v>580</v>
      </c>
      <c r="Q28" s="9" t="s">
        <v>572</v>
      </c>
    </row>
    <row r="29" spans="1:17" x14ac:dyDescent="0.25">
      <c r="A29" s="9" t="s">
        <v>493</v>
      </c>
      <c r="B29" s="9" t="s">
        <v>494</v>
      </c>
      <c r="C29" s="9" t="s">
        <v>495</v>
      </c>
      <c r="D29" s="9" t="s">
        <v>496</v>
      </c>
      <c r="E29" s="9" t="s">
        <v>239</v>
      </c>
      <c r="F29" s="9" t="s">
        <v>3</v>
      </c>
      <c r="G29" s="9" t="s">
        <v>568</v>
      </c>
      <c r="H29" s="9" t="s">
        <v>928</v>
      </c>
      <c r="I29" s="9" t="s">
        <v>569</v>
      </c>
      <c r="J29" s="9" t="s">
        <v>569</v>
      </c>
      <c r="K29" s="9" t="s">
        <v>932</v>
      </c>
      <c r="L29" s="9" t="s">
        <v>117</v>
      </c>
      <c r="M29" s="9" t="s">
        <v>665</v>
      </c>
      <c r="N29" s="9" t="s">
        <v>831</v>
      </c>
      <c r="O29" s="9" t="s">
        <v>962</v>
      </c>
      <c r="P29" s="9" t="s">
        <v>580</v>
      </c>
      <c r="Q29" s="9" t="s">
        <v>572</v>
      </c>
    </row>
    <row r="30" spans="1:17" x14ac:dyDescent="0.25">
      <c r="A30" s="9" t="s">
        <v>402</v>
      </c>
      <c r="B30" s="9" t="s">
        <v>403</v>
      </c>
      <c r="C30" s="9" t="s">
        <v>404</v>
      </c>
      <c r="D30" s="9" t="s">
        <v>405</v>
      </c>
      <c r="E30" s="9" t="s">
        <v>248</v>
      </c>
      <c r="F30" s="9" t="s">
        <v>3</v>
      </c>
      <c r="G30" s="9" t="s">
        <v>568</v>
      </c>
      <c r="H30" s="9" t="s">
        <v>928</v>
      </c>
      <c r="I30" s="9" t="s">
        <v>569</v>
      </c>
      <c r="J30" s="9" t="s">
        <v>569</v>
      </c>
      <c r="K30" s="9" t="s">
        <v>932</v>
      </c>
      <c r="L30" s="9" t="s">
        <v>117</v>
      </c>
      <c r="M30" s="9" t="s">
        <v>734</v>
      </c>
      <c r="N30" s="9" t="s">
        <v>816</v>
      </c>
      <c r="O30" s="9" t="s">
        <v>963</v>
      </c>
      <c r="P30" s="9" t="s">
        <v>580</v>
      </c>
      <c r="Q30" s="9" t="s">
        <v>572</v>
      </c>
    </row>
    <row r="31" spans="1:17" x14ac:dyDescent="0.25">
      <c r="A31" s="9" t="s">
        <v>62</v>
      </c>
      <c r="B31" s="9" t="s">
        <v>63</v>
      </c>
      <c r="C31" s="9" t="s">
        <v>63</v>
      </c>
      <c r="D31" s="9" t="s">
        <v>229</v>
      </c>
      <c r="E31" s="9" t="s">
        <v>246</v>
      </c>
      <c r="F31" s="9" t="s">
        <v>3</v>
      </c>
      <c r="G31" s="9" t="s">
        <v>568</v>
      </c>
      <c r="H31" s="9" t="s">
        <v>928</v>
      </c>
      <c r="I31" s="9" t="s">
        <v>569</v>
      </c>
      <c r="J31" s="9" t="s">
        <v>569</v>
      </c>
      <c r="K31" s="9" t="s">
        <v>932</v>
      </c>
      <c r="L31" s="9" t="s">
        <v>117</v>
      </c>
      <c r="M31" s="9" t="s">
        <v>724</v>
      </c>
      <c r="N31" s="9" t="s">
        <v>884</v>
      </c>
      <c r="O31" s="9" t="s">
        <v>964</v>
      </c>
      <c r="P31" s="9" t="s">
        <v>571</v>
      </c>
      <c r="Q31" s="9" t="s">
        <v>572</v>
      </c>
    </row>
    <row r="32" spans="1:17" x14ac:dyDescent="0.25">
      <c r="A32" s="9" t="s">
        <v>89</v>
      </c>
      <c r="B32" s="9" t="s">
        <v>254</v>
      </c>
      <c r="C32" s="9" t="s">
        <v>155</v>
      </c>
      <c r="D32" s="9" t="s">
        <v>88</v>
      </c>
      <c r="E32" s="9" t="s">
        <v>246</v>
      </c>
      <c r="F32" s="9" t="s">
        <v>3</v>
      </c>
      <c r="G32" s="9" t="s">
        <v>590</v>
      </c>
      <c r="H32" s="9" t="s">
        <v>928</v>
      </c>
      <c r="I32" s="9" t="s">
        <v>569</v>
      </c>
      <c r="J32" s="9" t="s">
        <v>569</v>
      </c>
      <c r="K32" s="9" t="s">
        <v>932</v>
      </c>
      <c r="L32" s="9" t="s">
        <v>117</v>
      </c>
      <c r="M32" s="9" t="s">
        <v>732</v>
      </c>
      <c r="N32" s="9" t="s">
        <v>864</v>
      </c>
      <c r="O32" s="9" t="s">
        <v>965</v>
      </c>
      <c r="P32" s="9" t="s">
        <v>571</v>
      </c>
      <c r="Q32" s="9" t="s">
        <v>572</v>
      </c>
    </row>
    <row r="33" spans="1:17" x14ac:dyDescent="0.25">
      <c r="A33" s="9" t="s">
        <v>93</v>
      </c>
      <c r="B33" s="9" t="s">
        <v>94</v>
      </c>
      <c r="C33" s="9" t="s">
        <v>94</v>
      </c>
      <c r="D33" s="9" t="s">
        <v>92</v>
      </c>
      <c r="E33" s="9" t="s">
        <v>246</v>
      </c>
      <c r="F33" s="9" t="s">
        <v>3</v>
      </c>
      <c r="G33" s="9" t="s">
        <v>590</v>
      </c>
      <c r="H33" s="9" t="s">
        <v>928</v>
      </c>
      <c r="I33" s="9" t="s">
        <v>569</v>
      </c>
      <c r="J33" s="9" t="s">
        <v>569</v>
      </c>
      <c r="K33" s="9" t="s">
        <v>932</v>
      </c>
      <c r="L33" s="9" t="s">
        <v>117</v>
      </c>
      <c r="M33" s="9" t="s">
        <v>698</v>
      </c>
      <c r="N33" s="9" t="s">
        <v>844</v>
      </c>
      <c r="O33" s="9" t="s">
        <v>966</v>
      </c>
      <c r="P33" s="9" t="s">
        <v>571</v>
      </c>
      <c r="Q33" s="9" t="s">
        <v>572</v>
      </c>
    </row>
    <row r="34" spans="1:17" x14ac:dyDescent="0.25">
      <c r="A34" s="9" t="s">
        <v>83</v>
      </c>
      <c r="B34" s="9" t="s">
        <v>206</v>
      </c>
      <c r="C34" s="9" t="s">
        <v>207</v>
      </c>
      <c r="D34" s="9" t="s">
        <v>208</v>
      </c>
      <c r="E34" s="9" t="s">
        <v>245</v>
      </c>
      <c r="F34" s="9" t="s">
        <v>3</v>
      </c>
      <c r="G34" s="9" t="s">
        <v>568</v>
      </c>
      <c r="H34" s="9" t="s">
        <v>928</v>
      </c>
      <c r="I34" s="9" t="s">
        <v>569</v>
      </c>
      <c r="J34" s="9" t="s">
        <v>569</v>
      </c>
      <c r="K34" s="9" t="s">
        <v>932</v>
      </c>
      <c r="L34" s="9" t="s">
        <v>117</v>
      </c>
      <c r="M34" s="9" t="s">
        <v>690</v>
      </c>
      <c r="N34" s="9" t="s">
        <v>842</v>
      </c>
      <c r="O34" s="9" t="s">
        <v>967</v>
      </c>
      <c r="P34" s="9" t="s">
        <v>571</v>
      </c>
      <c r="Q34" s="9" t="s">
        <v>572</v>
      </c>
    </row>
    <row r="35" spans="1:17" x14ac:dyDescent="0.25">
      <c r="A35" s="9" t="s">
        <v>109</v>
      </c>
      <c r="B35" s="9" t="s">
        <v>110</v>
      </c>
      <c r="C35" s="9" t="s">
        <v>110</v>
      </c>
      <c r="D35" s="9" t="s">
        <v>108</v>
      </c>
      <c r="E35" s="9" t="s">
        <v>241</v>
      </c>
      <c r="F35" s="9" t="s">
        <v>3</v>
      </c>
      <c r="G35" s="9" t="s">
        <v>568</v>
      </c>
      <c r="H35" s="9" t="s">
        <v>928</v>
      </c>
      <c r="I35" s="9" t="s">
        <v>569</v>
      </c>
      <c r="J35" s="9" t="s">
        <v>569</v>
      </c>
      <c r="K35" s="9" t="s">
        <v>932</v>
      </c>
      <c r="L35" s="9" t="s">
        <v>117</v>
      </c>
      <c r="M35" s="9" t="s">
        <v>729</v>
      </c>
      <c r="N35" s="9" t="s">
        <v>860</v>
      </c>
      <c r="O35" s="9" t="s">
        <v>968</v>
      </c>
      <c r="P35" s="9" t="s">
        <v>571</v>
      </c>
      <c r="Q35" s="9" t="s">
        <v>572</v>
      </c>
    </row>
    <row r="36" spans="1:17" x14ac:dyDescent="0.25">
      <c r="A36" s="9" t="s">
        <v>169</v>
      </c>
      <c r="B36" s="9" t="s">
        <v>265</v>
      </c>
      <c r="C36" s="9" t="s">
        <v>170</v>
      </c>
      <c r="D36" s="9" t="s">
        <v>78</v>
      </c>
      <c r="E36" s="9" t="s">
        <v>236</v>
      </c>
      <c r="F36" s="9" t="s">
        <v>3</v>
      </c>
      <c r="G36" s="9" t="s">
        <v>590</v>
      </c>
      <c r="H36" s="9" t="s">
        <v>928</v>
      </c>
      <c r="I36" s="9" t="s">
        <v>569</v>
      </c>
      <c r="J36" s="9" t="s">
        <v>569</v>
      </c>
      <c r="K36" s="9" t="s">
        <v>932</v>
      </c>
      <c r="L36" s="9" t="s">
        <v>117</v>
      </c>
      <c r="M36" s="9" t="s">
        <v>708</v>
      </c>
      <c r="N36" s="9" t="s">
        <v>825</v>
      </c>
      <c r="O36" s="9" t="s">
        <v>969</v>
      </c>
      <c r="P36" s="9" t="s">
        <v>571</v>
      </c>
      <c r="Q36" s="9" t="s">
        <v>572</v>
      </c>
    </row>
    <row r="37" spans="1:17" x14ac:dyDescent="0.25">
      <c r="A37" s="9" t="s">
        <v>140</v>
      </c>
      <c r="B37" s="9" t="s">
        <v>141</v>
      </c>
      <c r="C37" s="9" t="s">
        <v>141</v>
      </c>
      <c r="D37" s="9" t="s">
        <v>308</v>
      </c>
      <c r="E37" s="9" t="s">
        <v>240</v>
      </c>
      <c r="F37" s="9" t="s">
        <v>3</v>
      </c>
      <c r="G37" s="9" t="s">
        <v>590</v>
      </c>
      <c r="H37" s="9" t="s">
        <v>928</v>
      </c>
      <c r="I37" s="9" t="s">
        <v>569</v>
      </c>
      <c r="J37" s="9" t="s">
        <v>569</v>
      </c>
      <c r="K37" s="9" t="s">
        <v>932</v>
      </c>
      <c r="L37" s="9" t="s">
        <v>117</v>
      </c>
      <c r="M37" s="9" t="s">
        <v>734</v>
      </c>
      <c r="N37" s="9" t="s">
        <v>890</v>
      </c>
      <c r="O37" s="9" t="s">
        <v>970</v>
      </c>
      <c r="P37" s="9" t="s">
        <v>571</v>
      </c>
      <c r="Q37" s="9" t="s">
        <v>572</v>
      </c>
    </row>
    <row r="38" spans="1:17" x14ac:dyDescent="0.25">
      <c r="A38" s="9" t="s">
        <v>36</v>
      </c>
      <c r="B38" s="9" t="s">
        <v>37</v>
      </c>
      <c r="C38" s="9" t="s">
        <v>37</v>
      </c>
      <c r="D38" s="9" t="s">
        <v>35</v>
      </c>
      <c r="E38" s="9" t="s">
        <v>243</v>
      </c>
      <c r="F38" s="9" t="s">
        <v>3</v>
      </c>
      <c r="G38" s="9" t="s">
        <v>590</v>
      </c>
      <c r="H38" s="9" t="s">
        <v>928</v>
      </c>
      <c r="I38" s="9" t="s">
        <v>569</v>
      </c>
      <c r="J38" s="9" t="s">
        <v>569</v>
      </c>
      <c r="K38" s="9" t="s">
        <v>932</v>
      </c>
      <c r="L38" s="9" t="s">
        <v>117</v>
      </c>
      <c r="M38" s="9" t="s">
        <v>682</v>
      </c>
      <c r="N38" s="9" t="s">
        <v>839</v>
      </c>
      <c r="O38" s="9" t="s">
        <v>971</v>
      </c>
      <c r="P38" s="9" t="s">
        <v>571</v>
      </c>
      <c r="Q38" s="9" t="s">
        <v>572</v>
      </c>
    </row>
    <row r="39" spans="1:17" x14ac:dyDescent="0.25">
      <c r="A39" s="9" t="s">
        <v>33</v>
      </c>
      <c r="B39" s="9" t="s">
        <v>34</v>
      </c>
      <c r="C39" s="9" t="s">
        <v>186</v>
      </c>
      <c r="D39" s="9" t="s">
        <v>32</v>
      </c>
      <c r="E39" s="9" t="s">
        <v>236</v>
      </c>
      <c r="F39" s="9" t="s">
        <v>3</v>
      </c>
      <c r="G39" s="9" t="s">
        <v>590</v>
      </c>
      <c r="H39" s="9" t="s">
        <v>928</v>
      </c>
      <c r="I39" s="9" t="s">
        <v>569</v>
      </c>
      <c r="J39" s="9" t="s">
        <v>569</v>
      </c>
      <c r="K39" s="9" t="s">
        <v>932</v>
      </c>
      <c r="L39" s="9" t="s">
        <v>117</v>
      </c>
      <c r="M39" s="9" t="s">
        <v>694</v>
      </c>
      <c r="N39" s="9" t="s">
        <v>817</v>
      </c>
      <c r="O39" s="9" t="s">
        <v>972</v>
      </c>
      <c r="P39" s="9" t="s">
        <v>571</v>
      </c>
      <c r="Q39" s="9" t="s">
        <v>572</v>
      </c>
    </row>
    <row r="40" spans="1:17" x14ac:dyDescent="0.25">
      <c r="A40" s="9" t="s">
        <v>11</v>
      </c>
      <c r="B40" s="9" t="s">
        <v>12</v>
      </c>
      <c r="C40" s="9" t="s">
        <v>12</v>
      </c>
      <c r="D40" s="9" t="s">
        <v>10</v>
      </c>
      <c r="E40" s="9" t="s">
        <v>241</v>
      </c>
      <c r="F40" s="9" t="s">
        <v>3</v>
      </c>
      <c r="G40" s="9" t="s">
        <v>590</v>
      </c>
      <c r="H40" s="9" t="s">
        <v>928</v>
      </c>
      <c r="I40" s="9" t="s">
        <v>569</v>
      </c>
      <c r="J40" s="9" t="s">
        <v>569</v>
      </c>
      <c r="K40" s="9" t="s">
        <v>932</v>
      </c>
      <c r="L40" s="9" t="s">
        <v>117</v>
      </c>
      <c r="M40" s="9" t="s">
        <v>718</v>
      </c>
      <c r="N40" s="9" t="s">
        <v>862</v>
      </c>
      <c r="O40" s="9" t="s">
        <v>973</v>
      </c>
      <c r="P40" s="9" t="s">
        <v>571</v>
      </c>
      <c r="Q40" s="9" t="s">
        <v>572</v>
      </c>
    </row>
    <row r="41" spans="1:17" x14ac:dyDescent="0.25">
      <c r="A41" s="9" t="s">
        <v>120</v>
      </c>
      <c r="B41" s="9" t="s">
        <v>121</v>
      </c>
      <c r="C41" s="9" t="s">
        <v>121</v>
      </c>
      <c r="D41" s="9" t="s">
        <v>119</v>
      </c>
      <c r="E41" s="9" t="s">
        <v>236</v>
      </c>
      <c r="F41" s="9" t="s">
        <v>3</v>
      </c>
      <c r="G41" s="9" t="s">
        <v>590</v>
      </c>
      <c r="H41" s="9" t="s">
        <v>928</v>
      </c>
      <c r="I41" s="9" t="s">
        <v>569</v>
      </c>
      <c r="J41" s="9" t="s">
        <v>569</v>
      </c>
      <c r="K41" s="9" t="s">
        <v>932</v>
      </c>
      <c r="L41" s="9" t="s">
        <v>117</v>
      </c>
      <c r="M41" s="9" t="s">
        <v>687</v>
      </c>
      <c r="N41" s="9" t="s">
        <v>827</v>
      </c>
      <c r="O41" s="9" t="s">
        <v>974</v>
      </c>
      <c r="P41" s="9" t="s">
        <v>571</v>
      </c>
      <c r="Q41" s="9" t="s">
        <v>572</v>
      </c>
    </row>
    <row r="42" spans="1:17" x14ac:dyDescent="0.25">
      <c r="A42" s="9" t="s">
        <v>343</v>
      </c>
      <c r="B42" s="9" t="s">
        <v>344</v>
      </c>
      <c r="C42" s="9" t="s">
        <v>345</v>
      </c>
      <c r="D42" s="9" t="s">
        <v>346</v>
      </c>
      <c r="E42" s="9" t="s">
        <v>241</v>
      </c>
      <c r="F42" s="9" t="s">
        <v>3</v>
      </c>
      <c r="G42" s="9" t="s">
        <v>590</v>
      </c>
      <c r="H42" s="9" t="s">
        <v>928</v>
      </c>
      <c r="I42" s="9" t="s">
        <v>569</v>
      </c>
      <c r="J42" s="9" t="s">
        <v>569</v>
      </c>
      <c r="K42" s="9" t="s">
        <v>932</v>
      </c>
      <c r="L42" s="9" t="s">
        <v>117</v>
      </c>
      <c r="M42" s="9" t="s">
        <v>712</v>
      </c>
      <c r="N42" s="9" t="s">
        <v>859</v>
      </c>
      <c r="O42" s="9" t="s">
        <v>975</v>
      </c>
      <c r="P42" s="9" t="s">
        <v>571</v>
      </c>
      <c r="Q42" s="9" t="s">
        <v>572</v>
      </c>
    </row>
    <row r="43" spans="1:17" x14ac:dyDescent="0.25">
      <c r="A43" s="9" t="s">
        <v>149</v>
      </c>
      <c r="B43" s="9" t="s">
        <v>97</v>
      </c>
      <c r="C43" s="9" t="s">
        <v>97</v>
      </c>
      <c r="D43" s="9" t="s">
        <v>217</v>
      </c>
      <c r="E43" s="9" t="s">
        <v>248</v>
      </c>
      <c r="F43" s="9" t="s">
        <v>3</v>
      </c>
      <c r="G43" s="9" t="s">
        <v>590</v>
      </c>
      <c r="H43" s="9" t="s">
        <v>928</v>
      </c>
      <c r="I43" s="9" t="s">
        <v>569</v>
      </c>
      <c r="J43" s="9" t="s">
        <v>569</v>
      </c>
      <c r="K43" s="9" t="s">
        <v>932</v>
      </c>
      <c r="L43" s="9" t="s">
        <v>117</v>
      </c>
      <c r="M43" s="9" t="s">
        <v>744</v>
      </c>
      <c r="N43" s="9" t="s">
        <v>878</v>
      </c>
      <c r="O43" s="9" t="s">
        <v>976</v>
      </c>
      <c r="P43" s="9" t="s">
        <v>571</v>
      </c>
      <c r="Q43" s="9" t="s">
        <v>572</v>
      </c>
    </row>
    <row r="44" spans="1:17" x14ac:dyDescent="0.25">
      <c r="A44" s="9" t="s">
        <v>69</v>
      </c>
      <c r="B44" s="9" t="s">
        <v>70</v>
      </c>
      <c r="C44" s="9" t="s">
        <v>70</v>
      </c>
      <c r="D44" s="9" t="s">
        <v>68</v>
      </c>
      <c r="E44" s="9" t="s">
        <v>249</v>
      </c>
      <c r="F44" s="9" t="s">
        <v>3</v>
      </c>
      <c r="G44" s="9" t="s">
        <v>590</v>
      </c>
      <c r="H44" s="9" t="s">
        <v>928</v>
      </c>
      <c r="I44" s="9" t="s">
        <v>569</v>
      </c>
      <c r="J44" s="9" t="s">
        <v>569</v>
      </c>
      <c r="K44" s="9" t="s">
        <v>932</v>
      </c>
      <c r="L44" s="9" t="s">
        <v>117</v>
      </c>
      <c r="M44" s="9" t="s">
        <v>735</v>
      </c>
      <c r="N44" s="9" t="s">
        <v>847</v>
      </c>
      <c r="O44" s="9" t="s">
        <v>977</v>
      </c>
      <c r="P44" s="9" t="s">
        <v>571</v>
      </c>
      <c r="Q44" s="9" t="s">
        <v>572</v>
      </c>
    </row>
    <row r="45" spans="1:17" x14ac:dyDescent="0.25">
      <c r="A45" s="9" t="s">
        <v>29</v>
      </c>
      <c r="B45" s="9" t="s">
        <v>137</v>
      </c>
      <c r="C45" s="9" t="s">
        <v>30</v>
      </c>
      <c r="D45" s="9" t="s">
        <v>28</v>
      </c>
      <c r="E45" s="9" t="s">
        <v>246</v>
      </c>
      <c r="F45" s="9" t="s">
        <v>3</v>
      </c>
      <c r="G45" s="9" t="s">
        <v>568</v>
      </c>
      <c r="H45" s="9" t="s">
        <v>928</v>
      </c>
      <c r="I45" s="9" t="s">
        <v>569</v>
      </c>
      <c r="J45" s="9" t="s">
        <v>569</v>
      </c>
      <c r="K45" s="9" t="s">
        <v>932</v>
      </c>
      <c r="L45" s="9" t="s">
        <v>117</v>
      </c>
      <c r="M45" s="9" t="s">
        <v>727</v>
      </c>
      <c r="N45" s="9" t="s">
        <v>891</v>
      </c>
      <c r="O45" s="9" t="s">
        <v>978</v>
      </c>
      <c r="P45" s="9" t="s">
        <v>571</v>
      </c>
      <c r="Q45" s="9" t="s">
        <v>572</v>
      </c>
    </row>
    <row r="46" spans="1:17" x14ac:dyDescent="0.25">
      <c r="A46" s="9" t="s">
        <v>150</v>
      </c>
      <c r="B46" s="9" t="s">
        <v>440</v>
      </c>
      <c r="C46" s="9" t="s">
        <v>151</v>
      </c>
      <c r="D46" s="9" t="s">
        <v>224</v>
      </c>
      <c r="E46" s="9" t="s">
        <v>236</v>
      </c>
      <c r="F46" s="9" t="s">
        <v>3</v>
      </c>
      <c r="G46" s="9" t="s">
        <v>590</v>
      </c>
      <c r="H46" s="9" t="s">
        <v>928</v>
      </c>
      <c r="I46" s="9" t="s">
        <v>569</v>
      </c>
      <c r="J46" s="9" t="s">
        <v>569</v>
      </c>
      <c r="K46" s="9" t="s">
        <v>932</v>
      </c>
      <c r="L46" s="9" t="s">
        <v>117</v>
      </c>
      <c r="M46" s="9" t="s">
        <v>746</v>
      </c>
      <c r="N46" s="9" t="s">
        <v>855</v>
      </c>
      <c r="O46" s="9" t="s">
        <v>979</v>
      </c>
      <c r="P46" s="9" t="s">
        <v>571</v>
      </c>
      <c r="Q46" s="9" t="s">
        <v>572</v>
      </c>
    </row>
    <row r="47" spans="1:17" x14ac:dyDescent="0.25">
      <c r="A47" s="9" t="s">
        <v>162</v>
      </c>
      <c r="B47" s="9" t="s">
        <v>79</v>
      </c>
      <c r="C47" s="9" t="s">
        <v>79</v>
      </c>
      <c r="D47" s="9" t="s">
        <v>218</v>
      </c>
      <c r="E47" s="9" t="s">
        <v>236</v>
      </c>
      <c r="F47" s="9" t="s">
        <v>3</v>
      </c>
      <c r="G47" s="9" t="s">
        <v>590</v>
      </c>
      <c r="H47" s="9" t="s">
        <v>928</v>
      </c>
      <c r="I47" s="9" t="s">
        <v>569</v>
      </c>
      <c r="J47" s="9" t="s">
        <v>569</v>
      </c>
      <c r="K47" s="9" t="s">
        <v>932</v>
      </c>
      <c r="L47" s="9" t="s">
        <v>117</v>
      </c>
      <c r="M47" s="9" t="s">
        <v>728</v>
      </c>
      <c r="N47" s="9" t="s">
        <v>875</v>
      </c>
      <c r="O47" s="9" t="s">
        <v>980</v>
      </c>
      <c r="P47" s="9" t="s">
        <v>571</v>
      </c>
      <c r="Q47" s="9" t="s">
        <v>572</v>
      </c>
    </row>
    <row r="48" spans="1:17" x14ac:dyDescent="0.25">
      <c r="A48" s="9" t="s">
        <v>443</v>
      </c>
      <c r="B48" s="9" t="s">
        <v>444</v>
      </c>
      <c r="C48" s="9" t="s">
        <v>444</v>
      </c>
      <c r="D48" s="9" t="s">
        <v>445</v>
      </c>
      <c r="E48" s="9" t="s">
        <v>240</v>
      </c>
      <c r="F48" s="9" t="s">
        <v>3</v>
      </c>
      <c r="G48" s="9" t="s">
        <v>568</v>
      </c>
      <c r="H48" s="9" t="s">
        <v>928</v>
      </c>
      <c r="I48" s="9" t="s">
        <v>569</v>
      </c>
      <c r="J48" s="9" t="s">
        <v>569</v>
      </c>
      <c r="K48" s="9" t="s">
        <v>932</v>
      </c>
      <c r="L48" s="9" t="s">
        <v>117</v>
      </c>
      <c r="M48" s="9" t="s">
        <v>714</v>
      </c>
      <c r="N48" s="9" t="s">
        <v>856</v>
      </c>
      <c r="O48" s="9" t="s">
        <v>981</v>
      </c>
      <c r="P48" s="9" t="s">
        <v>571</v>
      </c>
      <c r="Q48" s="9" t="s">
        <v>572</v>
      </c>
    </row>
    <row r="49" spans="1:17" x14ac:dyDescent="0.25">
      <c r="A49" s="9" t="s">
        <v>275</v>
      </c>
      <c r="B49" s="9" t="s">
        <v>276</v>
      </c>
      <c r="C49" s="9" t="s">
        <v>277</v>
      </c>
      <c r="D49" s="9" t="s">
        <v>278</v>
      </c>
      <c r="E49" s="9" t="s">
        <v>246</v>
      </c>
      <c r="F49" s="9" t="s">
        <v>3</v>
      </c>
      <c r="G49" s="9" t="s">
        <v>568</v>
      </c>
      <c r="H49" s="9" t="s">
        <v>928</v>
      </c>
      <c r="I49" s="9" t="s">
        <v>569</v>
      </c>
      <c r="J49" s="9" t="s">
        <v>569</v>
      </c>
      <c r="K49" s="9" t="s">
        <v>932</v>
      </c>
      <c r="L49" s="9" t="s">
        <v>117</v>
      </c>
      <c r="M49" s="9" t="s">
        <v>710</v>
      </c>
      <c r="N49" s="9" t="s">
        <v>869</v>
      </c>
      <c r="O49" s="9" t="s">
        <v>982</v>
      </c>
      <c r="P49" s="9" t="s">
        <v>571</v>
      </c>
      <c r="Q49" s="9" t="s">
        <v>572</v>
      </c>
    </row>
    <row r="50" spans="1:17" x14ac:dyDescent="0.25">
      <c r="A50" s="9" t="s">
        <v>291</v>
      </c>
      <c r="B50" s="9" t="s">
        <v>292</v>
      </c>
      <c r="C50" s="9" t="s">
        <v>292</v>
      </c>
      <c r="D50" s="9" t="s">
        <v>22</v>
      </c>
      <c r="E50" s="9" t="s">
        <v>241</v>
      </c>
      <c r="F50" s="9" t="s">
        <v>3</v>
      </c>
      <c r="G50" s="9" t="s">
        <v>568</v>
      </c>
      <c r="H50" s="9" t="s">
        <v>928</v>
      </c>
      <c r="I50" s="9" t="s">
        <v>569</v>
      </c>
      <c r="J50" s="9" t="s">
        <v>569</v>
      </c>
      <c r="K50" s="9" t="s">
        <v>932</v>
      </c>
      <c r="L50" s="9" t="s">
        <v>117</v>
      </c>
      <c r="M50" s="9" t="s">
        <v>713</v>
      </c>
      <c r="N50" s="9" t="s">
        <v>833</v>
      </c>
      <c r="O50" s="9" t="s">
        <v>983</v>
      </c>
      <c r="P50" s="9" t="s">
        <v>571</v>
      </c>
      <c r="Q50" s="9" t="s">
        <v>572</v>
      </c>
    </row>
    <row r="51" spans="1:17" x14ac:dyDescent="0.25">
      <c r="A51" s="9" t="s">
        <v>87</v>
      </c>
      <c r="B51" s="9" t="s">
        <v>234</v>
      </c>
      <c r="C51" s="9" t="s">
        <v>234</v>
      </c>
      <c r="D51" s="9" t="s">
        <v>86</v>
      </c>
      <c r="E51" s="9" t="s">
        <v>266</v>
      </c>
      <c r="F51" s="9" t="s">
        <v>3</v>
      </c>
      <c r="G51" s="9" t="s">
        <v>590</v>
      </c>
      <c r="H51" s="9" t="s">
        <v>928</v>
      </c>
      <c r="I51" s="9" t="s">
        <v>569</v>
      </c>
      <c r="J51" s="9" t="s">
        <v>569</v>
      </c>
      <c r="K51" s="9" t="s">
        <v>932</v>
      </c>
      <c r="L51" s="9" t="s">
        <v>117</v>
      </c>
      <c r="M51" s="9" t="s">
        <v>701</v>
      </c>
      <c r="N51" s="9" t="s">
        <v>857</v>
      </c>
      <c r="O51" s="9" t="s">
        <v>984</v>
      </c>
      <c r="P51" s="9" t="s">
        <v>571</v>
      </c>
      <c r="Q51" s="9" t="s">
        <v>572</v>
      </c>
    </row>
    <row r="52" spans="1:17" x14ac:dyDescent="0.25">
      <c r="A52" s="9" t="s">
        <v>53</v>
      </c>
      <c r="B52" s="9" t="s">
        <v>54</v>
      </c>
      <c r="C52" s="9" t="s">
        <v>54</v>
      </c>
      <c r="D52" s="9" t="s">
        <v>153</v>
      </c>
      <c r="E52" s="9" t="s">
        <v>245</v>
      </c>
      <c r="F52" s="9" t="s">
        <v>3</v>
      </c>
      <c r="G52" s="9" t="s">
        <v>590</v>
      </c>
      <c r="H52" s="9" t="s">
        <v>928</v>
      </c>
      <c r="I52" s="9" t="s">
        <v>569</v>
      </c>
      <c r="J52" s="9" t="s">
        <v>569</v>
      </c>
      <c r="K52" s="9" t="s">
        <v>932</v>
      </c>
      <c r="L52" s="9" t="s">
        <v>117</v>
      </c>
      <c r="M52" s="9" t="s">
        <v>699</v>
      </c>
      <c r="N52" s="9" t="s">
        <v>863</v>
      </c>
      <c r="O52" s="9" t="s">
        <v>985</v>
      </c>
      <c r="P52" s="9" t="s">
        <v>571</v>
      </c>
      <c r="Q52" s="9" t="s">
        <v>572</v>
      </c>
    </row>
    <row r="53" spans="1:17" x14ac:dyDescent="0.25">
      <c r="A53" s="9" t="s">
        <v>359</v>
      </c>
      <c r="B53" s="9" t="s">
        <v>360</v>
      </c>
      <c r="C53" s="9" t="s">
        <v>361</v>
      </c>
      <c r="D53" s="9" t="s">
        <v>362</v>
      </c>
      <c r="E53" s="9" t="s">
        <v>246</v>
      </c>
      <c r="F53" s="9" t="s">
        <v>3</v>
      </c>
      <c r="G53" s="9" t="s">
        <v>568</v>
      </c>
      <c r="H53" s="9" t="s">
        <v>928</v>
      </c>
      <c r="I53" s="9" t="s">
        <v>569</v>
      </c>
      <c r="J53" s="9" t="s">
        <v>569</v>
      </c>
      <c r="K53" s="9" t="s">
        <v>932</v>
      </c>
      <c r="L53" s="9" t="s">
        <v>117</v>
      </c>
      <c r="M53" s="9" t="s">
        <v>738</v>
      </c>
      <c r="N53" s="9" t="s">
        <v>823</v>
      </c>
      <c r="O53" s="9" t="s">
        <v>986</v>
      </c>
      <c r="P53" s="9" t="s">
        <v>571</v>
      </c>
      <c r="Q53" s="9" t="s">
        <v>572</v>
      </c>
    </row>
    <row r="54" spans="1:17" x14ac:dyDescent="0.25">
      <c r="A54" s="9" t="s">
        <v>347</v>
      </c>
      <c r="B54" s="9" t="s">
        <v>348</v>
      </c>
      <c r="C54" s="9" t="s">
        <v>348</v>
      </c>
      <c r="D54" s="9" t="s">
        <v>349</v>
      </c>
      <c r="E54" s="9" t="s">
        <v>241</v>
      </c>
      <c r="F54" s="9" t="s">
        <v>3</v>
      </c>
      <c r="G54" s="9" t="s">
        <v>568</v>
      </c>
      <c r="H54" s="9" t="s">
        <v>928</v>
      </c>
      <c r="I54" s="9" t="s">
        <v>569</v>
      </c>
      <c r="J54" s="9" t="s">
        <v>569</v>
      </c>
      <c r="K54" s="9" t="s">
        <v>932</v>
      </c>
      <c r="L54" s="9" t="s">
        <v>117</v>
      </c>
      <c r="M54" s="9" t="s">
        <v>704</v>
      </c>
      <c r="N54" s="9" t="s">
        <v>879</v>
      </c>
      <c r="O54" s="9" t="s">
        <v>987</v>
      </c>
      <c r="P54" s="9" t="s">
        <v>571</v>
      </c>
      <c r="Q54" s="9" t="s">
        <v>572</v>
      </c>
    </row>
    <row r="55" spans="1:17" x14ac:dyDescent="0.25">
      <c r="A55" s="9" t="s">
        <v>21</v>
      </c>
      <c r="B55" s="9" t="s">
        <v>281</v>
      </c>
      <c r="C55" s="9" t="s">
        <v>81</v>
      </c>
      <c r="D55" s="9" t="s">
        <v>20</v>
      </c>
      <c r="E55" s="9" t="s">
        <v>246</v>
      </c>
      <c r="F55" s="9" t="s">
        <v>3</v>
      </c>
      <c r="G55" s="9" t="s">
        <v>568</v>
      </c>
      <c r="H55" s="9" t="s">
        <v>928</v>
      </c>
      <c r="I55" s="9" t="s">
        <v>569</v>
      </c>
      <c r="J55" s="9" t="s">
        <v>569</v>
      </c>
      <c r="K55" s="9" t="s">
        <v>932</v>
      </c>
      <c r="L55" s="9" t="s">
        <v>117</v>
      </c>
      <c r="M55" s="9" t="s">
        <v>700</v>
      </c>
      <c r="N55" s="9" t="s">
        <v>850</v>
      </c>
      <c r="O55" s="9" t="s">
        <v>988</v>
      </c>
      <c r="P55" s="9" t="s">
        <v>571</v>
      </c>
      <c r="Q55" s="9" t="s">
        <v>572</v>
      </c>
    </row>
    <row r="56" spans="1:17" x14ac:dyDescent="0.25">
      <c r="A56" s="9" t="s">
        <v>142</v>
      </c>
      <c r="B56" s="9" t="s">
        <v>61</v>
      </c>
      <c r="C56" s="9" t="s">
        <v>61</v>
      </c>
      <c r="D56" s="9" t="s">
        <v>223</v>
      </c>
      <c r="E56" s="9" t="s">
        <v>245</v>
      </c>
      <c r="F56" s="9" t="s">
        <v>3</v>
      </c>
      <c r="G56" s="9" t="s">
        <v>590</v>
      </c>
      <c r="H56" s="9" t="s">
        <v>928</v>
      </c>
      <c r="I56" s="9" t="s">
        <v>569</v>
      </c>
      <c r="J56" s="9" t="s">
        <v>569</v>
      </c>
      <c r="K56" s="9" t="s">
        <v>932</v>
      </c>
      <c r="L56" s="9" t="s">
        <v>117</v>
      </c>
      <c r="M56" s="9" t="s">
        <v>743</v>
      </c>
      <c r="N56" s="9" t="s">
        <v>889</v>
      </c>
      <c r="O56" s="9" t="s">
        <v>989</v>
      </c>
      <c r="P56" s="9" t="s">
        <v>571</v>
      </c>
      <c r="Q56" s="9" t="s">
        <v>572</v>
      </c>
    </row>
    <row r="57" spans="1:17" x14ac:dyDescent="0.25">
      <c r="A57" s="9" t="s">
        <v>164</v>
      </c>
      <c r="B57" s="9" t="s">
        <v>75</v>
      </c>
      <c r="C57" s="9" t="s">
        <v>75</v>
      </c>
      <c r="D57" s="9" t="s">
        <v>220</v>
      </c>
      <c r="E57" s="9" t="s">
        <v>241</v>
      </c>
      <c r="F57" s="9" t="s">
        <v>3</v>
      </c>
      <c r="G57" s="9" t="s">
        <v>568</v>
      </c>
      <c r="H57" s="9" t="s">
        <v>928</v>
      </c>
      <c r="I57" s="9" t="s">
        <v>569</v>
      </c>
      <c r="J57" s="9" t="s">
        <v>569</v>
      </c>
      <c r="K57" s="9" t="s">
        <v>932</v>
      </c>
      <c r="L57" s="9" t="s">
        <v>117</v>
      </c>
      <c r="M57" s="9" t="s">
        <v>719</v>
      </c>
      <c r="N57" s="9" t="s">
        <v>865</v>
      </c>
      <c r="O57" s="9" t="s">
        <v>990</v>
      </c>
      <c r="P57" s="9" t="s">
        <v>571</v>
      </c>
      <c r="Q57" s="9" t="s">
        <v>572</v>
      </c>
    </row>
    <row r="58" spans="1:17" x14ac:dyDescent="0.25">
      <c r="A58" s="9" t="s">
        <v>326</v>
      </c>
      <c r="B58" s="9" t="s">
        <v>327</v>
      </c>
      <c r="C58" s="9" t="s">
        <v>327</v>
      </c>
      <c r="D58" s="9" t="s">
        <v>328</v>
      </c>
      <c r="E58" s="9" t="s">
        <v>247</v>
      </c>
      <c r="F58" s="9" t="s">
        <v>3</v>
      </c>
      <c r="G58" s="9" t="s">
        <v>568</v>
      </c>
      <c r="H58" s="9" t="s">
        <v>928</v>
      </c>
      <c r="I58" s="9" t="s">
        <v>569</v>
      </c>
      <c r="J58" s="9" t="s">
        <v>569</v>
      </c>
      <c r="K58" s="9" t="s">
        <v>932</v>
      </c>
      <c r="L58" s="9" t="s">
        <v>117</v>
      </c>
      <c r="M58" s="9" t="s">
        <v>741</v>
      </c>
      <c r="N58" s="9" t="s">
        <v>854</v>
      </c>
      <c r="O58" s="9" t="s">
        <v>991</v>
      </c>
      <c r="P58" s="9" t="s">
        <v>571</v>
      </c>
      <c r="Q58" s="9" t="s">
        <v>572</v>
      </c>
    </row>
    <row r="59" spans="1:17" x14ac:dyDescent="0.25">
      <c r="A59" s="9" t="s">
        <v>211</v>
      </c>
      <c r="B59" s="9" t="s">
        <v>227</v>
      </c>
      <c r="C59" s="9" t="s">
        <v>227</v>
      </c>
      <c r="D59" s="9" t="s">
        <v>228</v>
      </c>
      <c r="E59" s="9" t="s">
        <v>241</v>
      </c>
      <c r="F59" s="9" t="s">
        <v>3</v>
      </c>
      <c r="G59" s="9" t="s">
        <v>568</v>
      </c>
      <c r="H59" s="9" t="s">
        <v>928</v>
      </c>
      <c r="I59" s="9" t="s">
        <v>569</v>
      </c>
      <c r="J59" s="9" t="s">
        <v>569</v>
      </c>
      <c r="K59" s="9" t="s">
        <v>932</v>
      </c>
      <c r="L59" s="9" t="s">
        <v>117</v>
      </c>
      <c r="M59" s="9" t="s">
        <v>709</v>
      </c>
      <c r="N59" s="9" t="s">
        <v>853</v>
      </c>
      <c r="O59" s="9" t="s">
        <v>992</v>
      </c>
      <c r="P59" s="9" t="s">
        <v>571</v>
      </c>
      <c r="Q59" s="9" t="s">
        <v>572</v>
      </c>
    </row>
    <row r="60" spans="1:17" x14ac:dyDescent="0.25">
      <c r="A60" s="9" t="s">
        <v>146</v>
      </c>
      <c r="B60" s="9" t="s">
        <v>77</v>
      </c>
      <c r="C60" s="9" t="s">
        <v>77</v>
      </c>
      <c r="D60" s="9" t="s">
        <v>76</v>
      </c>
      <c r="E60" s="9" t="s">
        <v>248</v>
      </c>
      <c r="F60" s="9" t="s">
        <v>3</v>
      </c>
      <c r="G60" s="9" t="s">
        <v>590</v>
      </c>
      <c r="H60" s="9" t="s">
        <v>928</v>
      </c>
      <c r="I60" s="9" t="s">
        <v>569</v>
      </c>
      <c r="J60" s="9" t="s">
        <v>569</v>
      </c>
      <c r="K60" s="9" t="s">
        <v>932</v>
      </c>
      <c r="L60" s="9" t="s">
        <v>117</v>
      </c>
      <c r="M60" s="9" t="s">
        <v>693</v>
      </c>
      <c r="N60" s="9" t="s">
        <v>840</v>
      </c>
      <c r="O60" s="9" t="s">
        <v>993</v>
      </c>
      <c r="P60" s="9" t="s">
        <v>571</v>
      </c>
      <c r="Q60" s="9" t="s">
        <v>572</v>
      </c>
    </row>
    <row r="61" spans="1:17" x14ac:dyDescent="0.25">
      <c r="A61" s="9" t="s">
        <v>82</v>
      </c>
      <c r="B61" s="9" t="s">
        <v>257</v>
      </c>
      <c r="C61" s="9" t="s">
        <v>159</v>
      </c>
      <c r="D61" s="9" t="s">
        <v>358</v>
      </c>
      <c r="E61" s="9" t="s">
        <v>246</v>
      </c>
      <c r="F61" s="9" t="s">
        <v>3</v>
      </c>
      <c r="G61" s="9" t="s">
        <v>568</v>
      </c>
      <c r="H61" s="9" t="s">
        <v>928</v>
      </c>
      <c r="I61" s="9" t="s">
        <v>569</v>
      </c>
      <c r="J61" s="9" t="s">
        <v>569</v>
      </c>
      <c r="K61" s="9" t="s">
        <v>932</v>
      </c>
      <c r="L61" s="9" t="s">
        <v>117</v>
      </c>
      <c r="M61" s="9" t="s">
        <v>739</v>
      </c>
      <c r="N61" s="9" t="s">
        <v>848</v>
      </c>
      <c r="O61" s="9" t="s">
        <v>994</v>
      </c>
      <c r="P61" s="9" t="s">
        <v>571</v>
      </c>
      <c r="Q61" s="9" t="s">
        <v>572</v>
      </c>
    </row>
    <row r="62" spans="1:17" x14ac:dyDescent="0.25">
      <c r="A62" s="9" t="s">
        <v>51</v>
      </c>
      <c r="B62" s="9" t="s">
        <v>52</v>
      </c>
      <c r="C62" s="9" t="s">
        <v>52</v>
      </c>
      <c r="D62" s="9" t="s">
        <v>50</v>
      </c>
      <c r="E62" s="9" t="s">
        <v>240</v>
      </c>
      <c r="F62" s="9" t="s">
        <v>3</v>
      </c>
      <c r="G62" s="9" t="s">
        <v>590</v>
      </c>
      <c r="H62" s="9" t="s">
        <v>928</v>
      </c>
      <c r="I62" s="9" t="s">
        <v>569</v>
      </c>
      <c r="J62" s="9" t="s">
        <v>569</v>
      </c>
      <c r="K62" s="9" t="s">
        <v>932</v>
      </c>
      <c r="L62" s="9" t="s">
        <v>117</v>
      </c>
      <c r="M62" s="9" t="s">
        <v>689</v>
      </c>
      <c r="N62" s="9" t="s">
        <v>824</v>
      </c>
      <c r="O62" s="9" t="s">
        <v>995</v>
      </c>
      <c r="P62" s="9" t="s">
        <v>571</v>
      </c>
      <c r="Q62" s="9" t="s">
        <v>572</v>
      </c>
    </row>
    <row r="63" spans="1:17" x14ac:dyDescent="0.25">
      <c r="A63" s="9" t="s">
        <v>339</v>
      </c>
      <c r="B63" s="9" t="s">
        <v>340</v>
      </c>
      <c r="C63" s="9" t="s">
        <v>341</v>
      </c>
      <c r="D63" s="9" t="s">
        <v>342</v>
      </c>
      <c r="E63" s="9" t="s">
        <v>240</v>
      </c>
      <c r="F63" s="9" t="s">
        <v>3</v>
      </c>
      <c r="G63" s="9" t="s">
        <v>568</v>
      </c>
      <c r="H63" s="9" t="s">
        <v>928</v>
      </c>
      <c r="I63" s="9" t="s">
        <v>569</v>
      </c>
      <c r="J63" s="9" t="s">
        <v>569</v>
      </c>
      <c r="K63" s="9" t="s">
        <v>932</v>
      </c>
      <c r="L63" s="9" t="s">
        <v>117</v>
      </c>
      <c r="M63" s="9" t="s">
        <v>683</v>
      </c>
      <c r="N63" s="9" t="s">
        <v>835</v>
      </c>
      <c r="O63" s="9" t="s">
        <v>996</v>
      </c>
      <c r="P63" s="9" t="s">
        <v>571</v>
      </c>
      <c r="Q63" s="9" t="s">
        <v>572</v>
      </c>
    </row>
    <row r="64" spans="1:17" x14ac:dyDescent="0.25">
      <c r="A64" s="9" t="s">
        <v>317</v>
      </c>
      <c r="B64" s="9" t="s">
        <v>318</v>
      </c>
      <c r="C64" s="9" t="s">
        <v>318</v>
      </c>
      <c r="D64" s="9" t="s">
        <v>319</v>
      </c>
      <c r="E64" s="9" t="s">
        <v>248</v>
      </c>
      <c r="F64" s="9" t="s">
        <v>3</v>
      </c>
      <c r="G64" s="9" t="s">
        <v>568</v>
      </c>
      <c r="H64" s="9" t="s">
        <v>928</v>
      </c>
      <c r="I64" s="9" t="s">
        <v>569</v>
      </c>
      <c r="J64" s="9" t="s">
        <v>569</v>
      </c>
      <c r="K64" s="9" t="s">
        <v>932</v>
      </c>
      <c r="L64" s="9" t="s">
        <v>117</v>
      </c>
      <c r="M64" s="9" t="s">
        <v>705</v>
      </c>
      <c r="N64" s="9" t="s">
        <v>826</v>
      </c>
      <c r="O64" s="9" t="s">
        <v>997</v>
      </c>
      <c r="P64" s="9" t="s">
        <v>571</v>
      </c>
      <c r="Q64" s="9" t="s">
        <v>572</v>
      </c>
    </row>
    <row r="65" spans="1:17" x14ac:dyDescent="0.25">
      <c r="A65" s="9" t="s">
        <v>112</v>
      </c>
      <c r="B65" s="9" t="s">
        <v>113</v>
      </c>
      <c r="C65" s="9" t="s">
        <v>113</v>
      </c>
      <c r="D65" s="9" t="s">
        <v>111</v>
      </c>
      <c r="E65" s="9" t="s">
        <v>237</v>
      </c>
      <c r="F65" s="9" t="s">
        <v>3</v>
      </c>
      <c r="G65" s="9" t="s">
        <v>590</v>
      </c>
      <c r="H65" s="9" t="s">
        <v>928</v>
      </c>
      <c r="I65" s="9" t="s">
        <v>569</v>
      </c>
      <c r="J65" s="9" t="s">
        <v>569</v>
      </c>
      <c r="K65" s="9" t="s">
        <v>932</v>
      </c>
      <c r="L65" s="9" t="s">
        <v>117</v>
      </c>
      <c r="M65" s="9" t="s">
        <v>692</v>
      </c>
      <c r="N65" s="9" t="s">
        <v>834</v>
      </c>
      <c r="O65" s="9" t="s">
        <v>998</v>
      </c>
      <c r="P65" s="9" t="s">
        <v>571</v>
      </c>
      <c r="Q65" s="9" t="s">
        <v>572</v>
      </c>
    </row>
    <row r="66" spans="1:17" x14ac:dyDescent="0.25">
      <c r="A66" s="9" t="s">
        <v>298</v>
      </c>
      <c r="B66" s="9" t="s">
        <v>299</v>
      </c>
      <c r="C66" s="9" t="s">
        <v>299</v>
      </c>
      <c r="D66" s="9" t="s">
        <v>43</v>
      </c>
      <c r="E66" s="9" t="s">
        <v>236</v>
      </c>
      <c r="F66" s="9" t="s">
        <v>3</v>
      </c>
      <c r="G66" s="9" t="s">
        <v>568</v>
      </c>
      <c r="H66" s="9" t="s">
        <v>928</v>
      </c>
      <c r="I66" s="9" t="s">
        <v>569</v>
      </c>
      <c r="J66" s="9" t="s">
        <v>569</v>
      </c>
      <c r="K66" s="9" t="s">
        <v>932</v>
      </c>
      <c r="L66" s="9" t="s">
        <v>117</v>
      </c>
      <c r="M66" s="9" t="s">
        <v>725</v>
      </c>
      <c r="N66" s="9" t="s">
        <v>845</v>
      </c>
      <c r="O66" s="9" t="s">
        <v>999</v>
      </c>
      <c r="P66" s="9" t="s">
        <v>571</v>
      </c>
      <c r="Q66" s="9" t="s">
        <v>572</v>
      </c>
    </row>
    <row r="67" spans="1:17" x14ac:dyDescent="0.25">
      <c r="A67" s="9" t="s">
        <v>56</v>
      </c>
      <c r="B67" s="9" t="s">
        <v>57</v>
      </c>
      <c r="C67" s="9" t="s">
        <v>57</v>
      </c>
      <c r="D67" s="9" t="s">
        <v>55</v>
      </c>
      <c r="E67" s="9" t="s">
        <v>237</v>
      </c>
      <c r="F67" s="9" t="s">
        <v>3</v>
      </c>
      <c r="G67" s="9" t="s">
        <v>590</v>
      </c>
      <c r="H67" s="9" t="s">
        <v>928</v>
      </c>
      <c r="I67" s="9" t="s">
        <v>569</v>
      </c>
      <c r="J67" s="9" t="s">
        <v>569</v>
      </c>
      <c r="K67" s="9" t="s">
        <v>932</v>
      </c>
      <c r="L67" s="9" t="s">
        <v>117</v>
      </c>
      <c r="M67" s="9" t="s">
        <v>688</v>
      </c>
      <c r="N67" s="9" t="s">
        <v>872</v>
      </c>
      <c r="O67" s="9" t="s">
        <v>1000</v>
      </c>
      <c r="P67" s="9" t="s">
        <v>571</v>
      </c>
      <c r="Q67" s="9" t="s">
        <v>572</v>
      </c>
    </row>
    <row r="68" spans="1:17" x14ac:dyDescent="0.25">
      <c r="A68" s="9" t="s">
        <v>116</v>
      </c>
      <c r="B68" s="9" t="s">
        <v>411</v>
      </c>
      <c r="C68" s="9" t="s">
        <v>118</v>
      </c>
      <c r="D68" s="9" t="s">
        <v>230</v>
      </c>
      <c r="E68" s="9" t="s">
        <v>251</v>
      </c>
      <c r="F68" s="9" t="s">
        <v>3</v>
      </c>
      <c r="G68" s="9" t="s">
        <v>568</v>
      </c>
      <c r="H68" s="9" t="s">
        <v>928</v>
      </c>
      <c r="I68" s="9" t="s">
        <v>569</v>
      </c>
      <c r="J68" s="9" t="s">
        <v>569</v>
      </c>
      <c r="K68" s="9" t="s">
        <v>932</v>
      </c>
      <c r="L68" s="9" t="s">
        <v>117</v>
      </c>
      <c r="M68" s="9" t="s">
        <v>736</v>
      </c>
      <c r="N68" s="9" t="s">
        <v>867</v>
      </c>
      <c r="O68" s="9" t="s">
        <v>1001</v>
      </c>
      <c r="P68" s="9" t="s">
        <v>571</v>
      </c>
      <c r="Q68" s="9" t="s">
        <v>572</v>
      </c>
    </row>
    <row r="69" spans="1:17" x14ac:dyDescent="0.25">
      <c r="A69" s="9" t="s">
        <v>154</v>
      </c>
      <c r="B69" s="9" t="s">
        <v>104</v>
      </c>
      <c r="C69" s="9" t="s">
        <v>187</v>
      </c>
      <c r="D69" s="9" t="s">
        <v>288</v>
      </c>
      <c r="E69" s="9" t="s">
        <v>251</v>
      </c>
      <c r="F69" s="9" t="s">
        <v>3</v>
      </c>
      <c r="G69" s="9" t="s">
        <v>568</v>
      </c>
      <c r="H69" s="9" t="s">
        <v>928</v>
      </c>
      <c r="I69" s="9" t="s">
        <v>569</v>
      </c>
      <c r="J69" s="9" t="s">
        <v>569</v>
      </c>
      <c r="K69" s="9" t="s">
        <v>932</v>
      </c>
      <c r="L69" s="9" t="s">
        <v>117</v>
      </c>
      <c r="M69" s="9" t="s">
        <v>722</v>
      </c>
      <c r="N69" s="9" t="s">
        <v>882</v>
      </c>
      <c r="O69" s="9" t="s">
        <v>1002</v>
      </c>
      <c r="P69" s="9" t="s">
        <v>571</v>
      </c>
      <c r="Q69" s="9" t="s">
        <v>572</v>
      </c>
    </row>
    <row r="70" spans="1:17" x14ac:dyDescent="0.25">
      <c r="A70" s="9" t="s">
        <v>165</v>
      </c>
      <c r="B70" s="9" t="s">
        <v>255</v>
      </c>
      <c r="C70" s="9" t="s">
        <v>166</v>
      </c>
      <c r="D70" s="9" t="s">
        <v>49</v>
      </c>
      <c r="E70" s="9" t="s">
        <v>256</v>
      </c>
      <c r="F70" s="9" t="s">
        <v>3</v>
      </c>
      <c r="G70" s="9" t="s">
        <v>590</v>
      </c>
      <c r="H70" s="9" t="s">
        <v>928</v>
      </c>
      <c r="I70" s="9" t="s">
        <v>569</v>
      </c>
      <c r="J70" s="9" t="s">
        <v>569</v>
      </c>
      <c r="K70" s="9" t="s">
        <v>932</v>
      </c>
      <c r="L70" s="9" t="s">
        <v>117</v>
      </c>
      <c r="M70" s="9" t="s">
        <v>706</v>
      </c>
      <c r="N70" s="9" t="s">
        <v>849</v>
      </c>
      <c r="O70" s="9" t="s">
        <v>1003</v>
      </c>
      <c r="P70" s="9" t="s">
        <v>571</v>
      </c>
      <c r="Q70" s="9" t="s">
        <v>572</v>
      </c>
    </row>
    <row r="71" spans="1:17" x14ac:dyDescent="0.25">
      <c r="A71" s="9" t="s">
        <v>157</v>
      </c>
      <c r="B71" s="9" t="s">
        <v>6</v>
      </c>
      <c r="C71" s="9" t="s">
        <v>6</v>
      </c>
      <c r="D71" s="9" t="s">
        <v>222</v>
      </c>
      <c r="E71" s="9" t="s">
        <v>237</v>
      </c>
      <c r="F71" s="9" t="s">
        <v>3</v>
      </c>
      <c r="G71" s="9" t="s">
        <v>590</v>
      </c>
      <c r="H71" s="9" t="s">
        <v>928</v>
      </c>
      <c r="I71" s="9" t="s">
        <v>569</v>
      </c>
      <c r="J71" s="9" t="s">
        <v>569</v>
      </c>
      <c r="K71" s="9" t="s">
        <v>932</v>
      </c>
      <c r="L71" s="9" t="s">
        <v>117</v>
      </c>
      <c r="M71" s="9" t="s">
        <v>730</v>
      </c>
      <c r="N71" s="9" t="s">
        <v>871</v>
      </c>
      <c r="O71" s="9" t="s">
        <v>1004</v>
      </c>
      <c r="P71" s="9" t="s">
        <v>571</v>
      </c>
      <c r="Q71" s="9" t="s">
        <v>572</v>
      </c>
    </row>
    <row r="72" spans="1:17" x14ac:dyDescent="0.25">
      <c r="A72" s="9" t="s">
        <v>24</v>
      </c>
      <c r="B72" s="9" t="s">
        <v>25</v>
      </c>
      <c r="C72" s="9" t="s">
        <v>25</v>
      </c>
      <c r="D72" s="9" t="s">
        <v>23</v>
      </c>
      <c r="E72" s="9" t="s">
        <v>246</v>
      </c>
      <c r="F72" s="9" t="s">
        <v>3</v>
      </c>
      <c r="G72" s="9" t="s">
        <v>568</v>
      </c>
      <c r="H72" s="9" t="s">
        <v>928</v>
      </c>
      <c r="I72" s="9" t="s">
        <v>569</v>
      </c>
      <c r="J72" s="9" t="s">
        <v>569</v>
      </c>
      <c r="K72" s="9" t="s">
        <v>932</v>
      </c>
      <c r="L72" s="9" t="s">
        <v>117</v>
      </c>
      <c r="M72" s="9" t="s">
        <v>745</v>
      </c>
      <c r="N72" s="9" t="s">
        <v>836</v>
      </c>
      <c r="O72" s="9" t="s">
        <v>1005</v>
      </c>
      <c r="P72" s="9" t="s">
        <v>571</v>
      </c>
      <c r="Q72" s="9" t="s">
        <v>572</v>
      </c>
    </row>
    <row r="73" spans="1:17" x14ac:dyDescent="0.25">
      <c r="A73" s="9" t="s">
        <v>176</v>
      </c>
      <c r="B73" s="9" t="s">
        <v>177</v>
      </c>
      <c r="C73" s="9" t="s">
        <v>177</v>
      </c>
      <c r="D73" s="9" t="s">
        <v>178</v>
      </c>
      <c r="E73" s="9" t="s">
        <v>246</v>
      </c>
      <c r="F73" s="9" t="s">
        <v>3</v>
      </c>
      <c r="G73" s="9" t="s">
        <v>590</v>
      </c>
      <c r="H73" s="9" t="s">
        <v>928</v>
      </c>
      <c r="I73" s="9" t="s">
        <v>569</v>
      </c>
      <c r="J73" s="9" t="s">
        <v>569</v>
      </c>
      <c r="K73" s="9" t="s">
        <v>932</v>
      </c>
      <c r="L73" s="9" t="s">
        <v>117</v>
      </c>
      <c r="M73" s="9" t="s">
        <v>717</v>
      </c>
      <c r="N73" s="9" t="s">
        <v>824</v>
      </c>
      <c r="O73" s="9" t="s">
        <v>1006</v>
      </c>
      <c r="P73" s="9" t="s">
        <v>571</v>
      </c>
      <c r="Q73" s="9" t="s">
        <v>572</v>
      </c>
    </row>
    <row r="74" spans="1:17" x14ac:dyDescent="0.25">
      <c r="A74" s="9" t="s">
        <v>147</v>
      </c>
      <c r="B74" s="9" t="s">
        <v>148</v>
      </c>
      <c r="C74" s="9" t="s">
        <v>148</v>
      </c>
      <c r="D74" s="9" t="s">
        <v>98</v>
      </c>
      <c r="E74" s="9" t="s">
        <v>237</v>
      </c>
      <c r="F74" s="9" t="s">
        <v>3</v>
      </c>
      <c r="G74" s="9" t="s">
        <v>590</v>
      </c>
      <c r="H74" s="9" t="s">
        <v>928</v>
      </c>
      <c r="I74" s="9" t="s">
        <v>569</v>
      </c>
      <c r="J74" s="9" t="s">
        <v>569</v>
      </c>
      <c r="K74" s="9" t="s">
        <v>932</v>
      </c>
      <c r="L74" s="9" t="s">
        <v>117</v>
      </c>
      <c r="M74" s="9" t="s">
        <v>702</v>
      </c>
      <c r="N74" s="9" t="s">
        <v>858</v>
      </c>
      <c r="O74" s="9" t="s">
        <v>1007</v>
      </c>
      <c r="P74" s="9" t="s">
        <v>571</v>
      </c>
      <c r="Q74" s="9" t="s">
        <v>572</v>
      </c>
    </row>
    <row r="75" spans="1:17" x14ac:dyDescent="0.25">
      <c r="A75" s="9" t="s">
        <v>158</v>
      </c>
      <c r="B75" s="9" t="s">
        <v>19</v>
      </c>
      <c r="C75" s="9" t="s">
        <v>19</v>
      </c>
      <c r="D75" s="9" t="s">
        <v>18</v>
      </c>
      <c r="E75" s="9" t="s">
        <v>236</v>
      </c>
      <c r="F75" s="9" t="s">
        <v>3</v>
      </c>
      <c r="G75" s="9" t="s">
        <v>568</v>
      </c>
      <c r="H75" s="9" t="s">
        <v>928</v>
      </c>
      <c r="I75" s="9" t="s">
        <v>569</v>
      </c>
      <c r="J75" s="9" t="s">
        <v>569</v>
      </c>
      <c r="K75" s="9" t="s">
        <v>932</v>
      </c>
      <c r="L75" s="9" t="s">
        <v>117</v>
      </c>
      <c r="M75" s="9" t="s">
        <v>686</v>
      </c>
      <c r="N75" s="9" t="s">
        <v>841</v>
      </c>
      <c r="O75" s="9" t="s">
        <v>1008</v>
      </c>
      <c r="P75" s="9" t="s">
        <v>571</v>
      </c>
      <c r="Q75" s="9" t="s">
        <v>572</v>
      </c>
    </row>
    <row r="76" spans="1:17" x14ac:dyDescent="0.25">
      <c r="A76" s="9" t="s">
        <v>320</v>
      </c>
      <c r="B76" s="9" t="s">
        <v>279</v>
      </c>
      <c r="C76" s="9" t="s">
        <v>321</v>
      </c>
      <c r="D76" s="9" t="s">
        <v>280</v>
      </c>
      <c r="E76" s="9" t="s">
        <v>239</v>
      </c>
      <c r="F76" s="9" t="s">
        <v>3</v>
      </c>
      <c r="G76" s="9" t="s">
        <v>568</v>
      </c>
      <c r="H76" s="9" t="s">
        <v>928</v>
      </c>
      <c r="I76" s="9" t="s">
        <v>569</v>
      </c>
      <c r="J76" s="9" t="s">
        <v>569</v>
      </c>
      <c r="K76" s="9" t="s">
        <v>932</v>
      </c>
      <c r="L76" s="9" t="s">
        <v>117</v>
      </c>
      <c r="M76" s="9" t="s">
        <v>733</v>
      </c>
      <c r="N76" s="9" t="s">
        <v>861</v>
      </c>
      <c r="O76" s="9" t="s">
        <v>1009</v>
      </c>
      <c r="P76" s="9" t="s">
        <v>571</v>
      </c>
      <c r="Q76" s="9" t="s">
        <v>572</v>
      </c>
    </row>
    <row r="77" spans="1:17" x14ac:dyDescent="0.25">
      <c r="A77" s="9" t="s">
        <v>26</v>
      </c>
      <c r="B77" s="9" t="s">
        <v>279</v>
      </c>
      <c r="C77" s="9" t="s">
        <v>198</v>
      </c>
      <c r="D77" s="9" t="s">
        <v>280</v>
      </c>
      <c r="E77" s="9" t="s">
        <v>239</v>
      </c>
      <c r="F77" s="9" t="s">
        <v>3</v>
      </c>
      <c r="G77" s="9" t="s">
        <v>590</v>
      </c>
      <c r="H77" s="9" t="s">
        <v>928</v>
      </c>
      <c r="I77" s="9" t="s">
        <v>569</v>
      </c>
      <c r="J77" s="9" t="s">
        <v>569</v>
      </c>
      <c r="K77" s="9" t="s">
        <v>932</v>
      </c>
      <c r="L77" s="9" t="s">
        <v>117</v>
      </c>
      <c r="M77" s="9" t="s">
        <v>715</v>
      </c>
      <c r="N77" s="9" t="s">
        <v>832</v>
      </c>
      <c r="O77" s="9" t="s">
        <v>1010</v>
      </c>
      <c r="P77" s="9" t="s">
        <v>571</v>
      </c>
      <c r="Q77" s="9" t="s">
        <v>572</v>
      </c>
    </row>
    <row r="78" spans="1:17" x14ac:dyDescent="0.25">
      <c r="A78" s="9" t="s">
        <v>395</v>
      </c>
      <c r="B78" s="9" t="s">
        <v>396</v>
      </c>
      <c r="C78" s="9" t="s">
        <v>396</v>
      </c>
      <c r="D78" s="9" t="s">
        <v>406</v>
      </c>
      <c r="E78" s="9" t="s">
        <v>242</v>
      </c>
      <c r="F78" s="9" t="s">
        <v>3</v>
      </c>
      <c r="G78" s="9" t="s">
        <v>568</v>
      </c>
      <c r="H78" s="9" t="s">
        <v>928</v>
      </c>
      <c r="I78" s="9" t="s">
        <v>569</v>
      </c>
      <c r="J78" s="9" t="s">
        <v>569</v>
      </c>
      <c r="K78" s="9" t="s">
        <v>932</v>
      </c>
      <c r="L78" s="9" t="s">
        <v>117</v>
      </c>
      <c r="M78" s="9" t="s">
        <v>703</v>
      </c>
      <c r="N78" s="9" t="s">
        <v>837</v>
      </c>
      <c r="O78" s="9" t="s">
        <v>1011</v>
      </c>
      <c r="P78" s="9" t="s">
        <v>571</v>
      </c>
      <c r="Q78" s="9" t="s">
        <v>572</v>
      </c>
    </row>
    <row r="79" spans="1:17" x14ac:dyDescent="0.25">
      <c r="A79" s="9" t="s">
        <v>174</v>
      </c>
      <c r="B79" s="9" t="s">
        <v>244</v>
      </c>
      <c r="C79" s="9" t="s">
        <v>175</v>
      </c>
      <c r="D79" s="9" t="s">
        <v>64</v>
      </c>
      <c r="E79" s="9" t="s">
        <v>237</v>
      </c>
      <c r="F79" s="9" t="s">
        <v>3</v>
      </c>
      <c r="G79" s="9" t="s">
        <v>590</v>
      </c>
      <c r="H79" s="9" t="s">
        <v>928</v>
      </c>
      <c r="I79" s="9" t="s">
        <v>569</v>
      </c>
      <c r="J79" s="9" t="s">
        <v>569</v>
      </c>
      <c r="K79" s="9" t="s">
        <v>932</v>
      </c>
      <c r="L79" s="9" t="s">
        <v>117</v>
      </c>
      <c r="M79" s="9" t="s">
        <v>720</v>
      </c>
      <c r="N79" s="9" t="s">
        <v>883</v>
      </c>
      <c r="O79" s="9" t="s">
        <v>1012</v>
      </c>
      <c r="P79" s="9" t="s">
        <v>571</v>
      </c>
      <c r="Q79" s="9" t="s">
        <v>572</v>
      </c>
    </row>
    <row r="80" spans="1:17" x14ac:dyDescent="0.25">
      <c r="A80" s="9" t="s">
        <v>45</v>
      </c>
      <c r="B80" s="9" t="s">
        <v>46</v>
      </c>
      <c r="C80" s="9" t="s">
        <v>46</v>
      </c>
      <c r="D80" s="9" t="s">
        <v>44</v>
      </c>
      <c r="E80" s="9" t="s">
        <v>248</v>
      </c>
      <c r="F80" s="9" t="s">
        <v>3</v>
      </c>
      <c r="G80" s="9" t="s">
        <v>590</v>
      </c>
      <c r="H80" s="9" t="s">
        <v>928</v>
      </c>
      <c r="I80" s="9" t="s">
        <v>569</v>
      </c>
      <c r="J80" s="9" t="s">
        <v>569</v>
      </c>
      <c r="K80" s="9" t="s">
        <v>932</v>
      </c>
      <c r="L80" s="9" t="s">
        <v>117</v>
      </c>
      <c r="M80" s="9" t="s">
        <v>726</v>
      </c>
      <c r="N80" s="9" t="s">
        <v>868</v>
      </c>
      <c r="O80" s="9" t="s">
        <v>1013</v>
      </c>
      <c r="P80" s="9" t="s">
        <v>571</v>
      </c>
      <c r="Q80" s="9" t="s">
        <v>572</v>
      </c>
    </row>
    <row r="81" spans="1:17" x14ac:dyDescent="0.25">
      <c r="A81" s="9" t="s">
        <v>73</v>
      </c>
      <c r="B81" s="9" t="s">
        <v>74</v>
      </c>
      <c r="C81" s="9" t="s">
        <v>74</v>
      </c>
      <c r="D81" s="9" t="s">
        <v>219</v>
      </c>
      <c r="E81" s="9" t="s">
        <v>237</v>
      </c>
      <c r="F81" s="9" t="s">
        <v>3</v>
      </c>
      <c r="G81" s="9" t="s">
        <v>568</v>
      </c>
      <c r="H81" s="9" t="s">
        <v>928</v>
      </c>
      <c r="I81" s="9" t="s">
        <v>569</v>
      </c>
      <c r="J81" s="9" t="s">
        <v>569</v>
      </c>
      <c r="K81" s="9" t="s">
        <v>932</v>
      </c>
      <c r="L81" s="9" t="s">
        <v>117</v>
      </c>
      <c r="M81" s="9" t="s">
        <v>724</v>
      </c>
      <c r="N81" s="9" t="s">
        <v>884</v>
      </c>
      <c r="O81" s="9" t="s">
        <v>964</v>
      </c>
      <c r="P81" s="9" t="s">
        <v>571</v>
      </c>
      <c r="Q81" s="9" t="s">
        <v>572</v>
      </c>
    </row>
    <row r="82" spans="1:17" x14ac:dyDescent="0.25">
      <c r="A82" s="9" t="s">
        <v>335</v>
      </c>
      <c r="B82" s="9" t="s">
        <v>336</v>
      </c>
      <c r="C82" s="9" t="s">
        <v>337</v>
      </c>
      <c r="D82" s="9" t="s">
        <v>338</v>
      </c>
      <c r="E82" s="9" t="s">
        <v>249</v>
      </c>
      <c r="F82" s="9" t="s">
        <v>3</v>
      </c>
      <c r="G82" s="9" t="s">
        <v>568</v>
      </c>
      <c r="H82" s="9" t="s">
        <v>928</v>
      </c>
      <c r="I82" s="9" t="s">
        <v>569</v>
      </c>
      <c r="J82" s="9" t="s">
        <v>569</v>
      </c>
      <c r="K82" s="9" t="s">
        <v>932</v>
      </c>
      <c r="L82" s="9" t="s">
        <v>117</v>
      </c>
      <c r="M82" s="9" t="s">
        <v>755</v>
      </c>
      <c r="N82" s="9" t="s">
        <v>885</v>
      </c>
      <c r="O82" s="9" t="s">
        <v>1014</v>
      </c>
      <c r="P82" s="9" t="s">
        <v>571</v>
      </c>
      <c r="Q82" s="9" t="s">
        <v>572</v>
      </c>
    </row>
    <row r="83" spans="1:17" x14ac:dyDescent="0.25">
      <c r="A83" s="9" t="s">
        <v>179</v>
      </c>
      <c r="B83" s="9" t="s">
        <v>85</v>
      </c>
      <c r="C83" s="9" t="s">
        <v>85</v>
      </c>
      <c r="D83" s="9" t="s">
        <v>84</v>
      </c>
      <c r="E83" s="9" t="s">
        <v>246</v>
      </c>
      <c r="F83" s="9" t="s">
        <v>3</v>
      </c>
      <c r="G83" s="9" t="s">
        <v>590</v>
      </c>
      <c r="H83" s="9" t="s">
        <v>928</v>
      </c>
      <c r="I83" s="9" t="s">
        <v>569</v>
      </c>
      <c r="J83" s="9" t="s">
        <v>569</v>
      </c>
      <c r="K83" s="9" t="s">
        <v>932</v>
      </c>
      <c r="L83" s="9" t="s">
        <v>117</v>
      </c>
      <c r="M83" s="9" t="s">
        <v>721</v>
      </c>
      <c r="N83" s="9" t="s">
        <v>886</v>
      </c>
      <c r="O83" s="9" t="s">
        <v>1015</v>
      </c>
      <c r="P83" s="9" t="s">
        <v>571</v>
      </c>
      <c r="Q83" s="9" t="s">
        <v>572</v>
      </c>
    </row>
    <row r="84" spans="1:17" x14ac:dyDescent="0.25">
      <c r="A84" s="9" t="s">
        <v>272</v>
      </c>
      <c r="B84" s="9" t="s">
        <v>273</v>
      </c>
      <c r="C84" s="9" t="s">
        <v>274</v>
      </c>
      <c r="D84" s="9" t="s">
        <v>357</v>
      </c>
      <c r="E84" s="9" t="s">
        <v>236</v>
      </c>
      <c r="F84" s="9" t="s">
        <v>3</v>
      </c>
      <c r="G84" s="9" t="s">
        <v>568</v>
      </c>
      <c r="H84" s="9" t="s">
        <v>928</v>
      </c>
      <c r="I84" s="9" t="s">
        <v>569</v>
      </c>
      <c r="J84" s="9" t="s">
        <v>569</v>
      </c>
      <c r="K84" s="9" t="s">
        <v>932</v>
      </c>
      <c r="L84" s="9" t="s">
        <v>117</v>
      </c>
      <c r="M84" s="9" t="s">
        <v>711</v>
      </c>
      <c r="N84" s="9" t="s">
        <v>846</v>
      </c>
      <c r="O84" s="9" t="s">
        <v>1016</v>
      </c>
      <c r="P84" s="9" t="s">
        <v>571</v>
      </c>
      <c r="Q84" s="9" t="s">
        <v>572</v>
      </c>
    </row>
    <row r="85" spans="1:17" x14ac:dyDescent="0.25">
      <c r="A85" s="9" t="s">
        <v>231</v>
      </c>
      <c r="B85" s="9" t="s">
        <v>232</v>
      </c>
      <c r="C85" s="9" t="s">
        <v>232</v>
      </c>
      <c r="D85" s="9" t="s">
        <v>233</v>
      </c>
      <c r="E85" s="9" t="s">
        <v>250</v>
      </c>
      <c r="F85" s="9" t="s">
        <v>3</v>
      </c>
      <c r="G85" s="9" t="s">
        <v>590</v>
      </c>
      <c r="H85" s="9" t="s">
        <v>928</v>
      </c>
      <c r="I85" s="9" t="s">
        <v>569</v>
      </c>
      <c r="J85" s="9" t="s">
        <v>569</v>
      </c>
      <c r="K85" s="9" t="s">
        <v>932</v>
      </c>
      <c r="L85" s="9" t="s">
        <v>117</v>
      </c>
      <c r="M85" s="9" t="s">
        <v>754</v>
      </c>
      <c r="N85" s="9" t="s">
        <v>874</v>
      </c>
      <c r="O85" s="9" t="s">
        <v>1017</v>
      </c>
      <c r="P85" s="9" t="s">
        <v>571</v>
      </c>
      <c r="Q85" s="9" t="s">
        <v>572</v>
      </c>
    </row>
    <row r="86" spans="1:17" x14ac:dyDescent="0.25">
      <c r="A86" s="9" t="s">
        <v>161</v>
      </c>
      <c r="B86" s="9" t="s">
        <v>39</v>
      </c>
      <c r="C86" s="9" t="s">
        <v>39</v>
      </c>
      <c r="D86" s="9" t="s">
        <v>38</v>
      </c>
      <c r="E86" s="9" t="s">
        <v>246</v>
      </c>
      <c r="F86" s="9" t="s">
        <v>3</v>
      </c>
      <c r="G86" s="9" t="s">
        <v>590</v>
      </c>
      <c r="H86" s="9" t="s">
        <v>928</v>
      </c>
      <c r="I86" s="9" t="s">
        <v>569</v>
      </c>
      <c r="J86" s="9" t="s">
        <v>569</v>
      </c>
      <c r="K86" s="9" t="s">
        <v>932</v>
      </c>
      <c r="L86" s="9" t="s">
        <v>117</v>
      </c>
      <c r="M86" s="9" t="s">
        <v>756</v>
      </c>
      <c r="N86" s="9" t="s">
        <v>888</v>
      </c>
      <c r="O86" s="9" t="s">
        <v>1018</v>
      </c>
      <c r="P86" s="9" t="s">
        <v>571</v>
      </c>
      <c r="Q86" s="9" t="s">
        <v>572</v>
      </c>
    </row>
    <row r="87" spans="1:17" x14ac:dyDescent="0.25">
      <c r="A87" s="9" t="s">
        <v>143</v>
      </c>
      <c r="B87" s="9" t="s">
        <v>144</v>
      </c>
      <c r="C87" s="9" t="s">
        <v>144</v>
      </c>
      <c r="D87" s="9" t="s">
        <v>145</v>
      </c>
      <c r="E87" s="9" t="s">
        <v>246</v>
      </c>
      <c r="F87" s="9" t="s">
        <v>3</v>
      </c>
      <c r="G87" s="9" t="s">
        <v>590</v>
      </c>
      <c r="H87" s="9" t="s">
        <v>928</v>
      </c>
      <c r="I87" s="9" t="s">
        <v>569</v>
      </c>
      <c r="J87" s="9" t="s">
        <v>569</v>
      </c>
      <c r="K87" s="9" t="s">
        <v>932</v>
      </c>
      <c r="L87" s="9" t="s">
        <v>117</v>
      </c>
      <c r="M87" s="9" t="s">
        <v>737</v>
      </c>
      <c r="N87" s="9" t="s">
        <v>870</v>
      </c>
      <c r="O87" s="9" t="s">
        <v>1019</v>
      </c>
      <c r="P87" s="9" t="s">
        <v>571</v>
      </c>
      <c r="Q87" s="9" t="s">
        <v>572</v>
      </c>
    </row>
    <row r="88" spans="1:17" x14ac:dyDescent="0.25">
      <c r="A88" s="9" t="s">
        <v>91</v>
      </c>
      <c r="B88" s="9" t="s">
        <v>253</v>
      </c>
      <c r="C88" s="9" t="s">
        <v>139</v>
      </c>
      <c r="D88" s="9" t="s">
        <v>90</v>
      </c>
      <c r="E88" s="9" t="s">
        <v>246</v>
      </c>
      <c r="F88" s="9" t="s">
        <v>3</v>
      </c>
      <c r="G88" s="9" t="s">
        <v>590</v>
      </c>
      <c r="H88" s="9" t="s">
        <v>928</v>
      </c>
      <c r="I88" s="9" t="s">
        <v>569</v>
      </c>
      <c r="J88" s="9" t="s">
        <v>569</v>
      </c>
      <c r="K88" s="9" t="s">
        <v>932</v>
      </c>
      <c r="L88" s="9" t="s">
        <v>117</v>
      </c>
      <c r="M88" s="9" t="s">
        <v>740</v>
      </c>
      <c r="N88" s="9" t="s">
        <v>881</v>
      </c>
      <c r="O88" s="9" t="s">
        <v>1020</v>
      </c>
      <c r="P88" s="9" t="s">
        <v>571</v>
      </c>
      <c r="Q88" s="9" t="s">
        <v>572</v>
      </c>
    </row>
    <row r="89" spans="1:17" x14ac:dyDescent="0.25">
      <c r="A89" s="9" t="s">
        <v>100</v>
      </c>
      <c r="B89" s="9" t="s">
        <v>101</v>
      </c>
      <c r="C89" s="9" t="s">
        <v>101</v>
      </c>
      <c r="D89" s="9" t="s">
        <v>99</v>
      </c>
      <c r="E89" s="9" t="s">
        <v>237</v>
      </c>
      <c r="F89" s="9" t="s">
        <v>3</v>
      </c>
      <c r="G89" s="9" t="s">
        <v>590</v>
      </c>
      <c r="H89" s="9" t="s">
        <v>928</v>
      </c>
      <c r="I89" s="9" t="s">
        <v>569</v>
      </c>
      <c r="J89" s="9" t="s">
        <v>569</v>
      </c>
      <c r="K89" s="9" t="s">
        <v>932</v>
      </c>
      <c r="L89" s="9" t="s">
        <v>117</v>
      </c>
      <c r="M89" s="9" t="s">
        <v>723</v>
      </c>
      <c r="N89" s="9" t="s">
        <v>880</v>
      </c>
      <c r="O89" s="9" t="s">
        <v>1021</v>
      </c>
      <c r="P89" s="9" t="s">
        <v>571</v>
      </c>
      <c r="Q89" s="9" t="s">
        <v>572</v>
      </c>
    </row>
    <row r="90" spans="1:17" x14ac:dyDescent="0.25">
      <c r="A90" s="9" t="s">
        <v>95</v>
      </c>
      <c r="B90" s="9" t="s">
        <v>96</v>
      </c>
      <c r="C90" s="9" t="s">
        <v>163</v>
      </c>
      <c r="D90" s="9" t="s">
        <v>313</v>
      </c>
      <c r="E90" s="9" t="s">
        <v>246</v>
      </c>
      <c r="F90" s="9" t="s">
        <v>3</v>
      </c>
      <c r="G90" s="9" t="s">
        <v>568</v>
      </c>
      <c r="H90" s="9" t="s">
        <v>928</v>
      </c>
      <c r="I90" s="9" t="s">
        <v>569</v>
      </c>
      <c r="J90" s="9" t="s">
        <v>569</v>
      </c>
      <c r="K90" s="9" t="s">
        <v>932</v>
      </c>
      <c r="L90" s="9" t="s">
        <v>117</v>
      </c>
      <c r="M90" s="9" t="s">
        <v>748</v>
      </c>
      <c r="N90" s="9" t="s">
        <v>838</v>
      </c>
      <c r="O90" s="9" t="s">
        <v>1022</v>
      </c>
      <c r="P90" s="9" t="s">
        <v>571</v>
      </c>
      <c r="Q90" s="9" t="s">
        <v>572</v>
      </c>
    </row>
    <row r="91" spans="1:17" x14ac:dyDescent="0.25">
      <c r="A91" s="9" t="s">
        <v>171</v>
      </c>
      <c r="B91" s="9" t="s">
        <v>5</v>
      </c>
      <c r="C91" s="9" t="s">
        <v>5</v>
      </c>
      <c r="D91" s="9" t="s">
        <v>172</v>
      </c>
      <c r="E91" s="9" t="s">
        <v>239</v>
      </c>
      <c r="F91" s="9" t="s">
        <v>3</v>
      </c>
      <c r="G91" s="9" t="s">
        <v>590</v>
      </c>
      <c r="H91" s="9" t="s">
        <v>928</v>
      </c>
      <c r="I91" s="9" t="s">
        <v>569</v>
      </c>
      <c r="J91" s="9" t="s">
        <v>569</v>
      </c>
      <c r="K91" s="9" t="s">
        <v>932</v>
      </c>
      <c r="L91" s="9" t="s">
        <v>117</v>
      </c>
      <c r="M91" s="9" t="s">
        <v>742</v>
      </c>
      <c r="N91" s="9" t="s">
        <v>873</v>
      </c>
      <c r="O91" s="9" t="s">
        <v>1023</v>
      </c>
      <c r="P91" s="9" t="s">
        <v>571</v>
      </c>
      <c r="Q91" s="9" t="s">
        <v>572</v>
      </c>
    </row>
    <row r="92" spans="1:17" x14ac:dyDescent="0.25">
      <c r="A92" s="9" t="s">
        <v>80</v>
      </c>
      <c r="B92" s="9" t="s">
        <v>414</v>
      </c>
      <c r="C92" s="9" t="s">
        <v>200</v>
      </c>
      <c r="D92" s="9" t="s">
        <v>295</v>
      </c>
      <c r="E92" s="9" t="s">
        <v>237</v>
      </c>
      <c r="F92" s="9" t="s">
        <v>3</v>
      </c>
      <c r="G92" s="9" t="s">
        <v>568</v>
      </c>
      <c r="H92" s="9" t="s">
        <v>928</v>
      </c>
      <c r="I92" s="9" t="s">
        <v>569</v>
      </c>
      <c r="J92" s="9" t="s">
        <v>569</v>
      </c>
      <c r="K92" s="9" t="s">
        <v>932</v>
      </c>
      <c r="L92" s="9" t="s">
        <v>117</v>
      </c>
      <c r="M92" s="9" t="s">
        <v>747</v>
      </c>
      <c r="N92" s="9" t="s">
        <v>892</v>
      </c>
      <c r="O92" s="9" t="s">
        <v>1024</v>
      </c>
      <c r="P92" s="9" t="s">
        <v>571</v>
      </c>
      <c r="Q92" s="9" t="s">
        <v>572</v>
      </c>
    </row>
    <row r="93" spans="1:17" x14ac:dyDescent="0.25">
      <c r="A93" s="9" t="s">
        <v>560</v>
      </c>
      <c r="B93" s="9" t="s">
        <v>562</v>
      </c>
      <c r="C93" s="9" t="s">
        <v>562</v>
      </c>
      <c r="D93" s="9" t="s">
        <v>561</v>
      </c>
      <c r="E93" s="9" t="s">
        <v>242</v>
      </c>
      <c r="F93" s="9" t="s">
        <v>3</v>
      </c>
      <c r="G93" s="9" t="s">
        <v>568</v>
      </c>
      <c r="H93" s="9" t="s">
        <v>928</v>
      </c>
      <c r="I93" s="9" t="s">
        <v>569</v>
      </c>
      <c r="J93" s="9" t="s">
        <v>569</v>
      </c>
      <c r="K93" s="9" t="s">
        <v>932</v>
      </c>
      <c r="L93" s="9" t="s">
        <v>117</v>
      </c>
      <c r="M93" s="9" t="s">
        <v>753</v>
      </c>
      <c r="N93" s="9" t="s">
        <v>887</v>
      </c>
      <c r="O93" s="9" t="s">
        <v>1025</v>
      </c>
      <c r="P93" s="9" t="s">
        <v>571</v>
      </c>
      <c r="Q93" s="9" t="s">
        <v>572</v>
      </c>
    </row>
    <row r="94" spans="1:17" x14ac:dyDescent="0.25">
      <c r="A94" s="9" t="s">
        <v>591</v>
      </c>
      <c r="B94" s="9" t="s">
        <v>592</v>
      </c>
      <c r="C94" s="9" t="s">
        <v>592</v>
      </c>
      <c r="D94" s="9" t="s">
        <v>593</v>
      </c>
      <c r="E94" s="9" t="s">
        <v>246</v>
      </c>
      <c r="F94" s="9" t="s">
        <v>3</v>
      </c>
      <c r="G94" s="9" t="s">
        <v>568</v>
      </c>
      <c r="H94" s="9" t="s">
        <v>928</v>
      </c>
      <c r="I94" s="9" t="s">
        <v>569</v>
      </c>
      <c r="J94" s="9" t="s">
        <v>569</v>
      </c>
      <c r="K94" s="9" t="s">
        <v>932</v>
      </c>
      <c r="L94" s="9" t="s">
        <v>117</v>
      </c>
      <c r="M94" s="9" t="s">
        <v>749</v>
      </c>
      <c r="N94" s="9" t="s">
        <v>814</v>
      </c>
      <c r="O94" s="9" t="s">
        <v>1026</v>
      </c>
      <c r="P94" s="9" t="s">
        <v>571</v>
      </c>
      <c r="Q94" s="9" t="s">
        <v>572</v>
      </c>
    </row>
    <row r="95" spans="1:17" x14ac:dyDescent="0.25">
      <c r="A95" s="9" t="s">
        <v>637</v>
      </c>
      <c r="B95" s="9" t="s">
        <v>638</v>
      </c>
      <c r="C95" s="9" t="s">
        <v>638</v>
      </c>
      <c r="D95" s="9" t="s">
        <v>639</v>
      </c>
      <c r="E95" s="9" t="s">
        <v>237</v>
      </c>
      <c r="F95" s="9" t="s">
        <v>3</v>
      </c>
      <c r="G95" s="9" t="s">
        <v>568</v>
      </c>
      <c r="H95" s="9" t="s">
        <v>928</v>
      </c>
      <c r="I95" s="9" t="s">
        <v>569</v>
      </c>
      <c r="J95" s="9" t="s">
        <v>569</v>
      </c>
      <c r="K95" s="9" t="s">
        <v>932</v>
      </c>
      <c r="L95" s="9" t="s">
        <v>117</v>
      </c>
      <c r="M95" s="9" t="s">
        <v>750</v>
      </c>
      <c r="N95" s="9" t="s">
        <v>876</v>
      </c>
      <c r="O95" s="9" t="s">
        <v>1027</v>
      </c>
      <c r="P95" s="9" t="s">
        <v>571</v>
      </c>
      <c r="Q95" s="9" t="s">
        <v>572</v>
      </c>
    </row>
    <row r="96" spans="1:17" x14ac:dyDescent="0.25">
      <c r="A96" s="9" t="s">
        <v>597</v>
      </c>
      <c r="B96" s="9" t="s">
        <v>598</v>
      </c>
      <c r="C96" s="9" t="s">
        <v>598</v>
      </c>
      <c r="D96" s="9" t="s">
        <v>599</v>
      </c>
      <c r="E96" s="9" t="s">
        <v>242</v>
      </c>
      <c r="F96" s="9" t="s">
        <v>3</v>
      </c>
      <c r="G96" s="9" t="s">
        <v>568</v>
      </c>
      <c r="H96" s="9" t="s">
        <v>928</v>
      </c>
      <c r="I96" s="9" t="s">
        <v>569</v>
      </c>
      <c r="J96" s="9" t="s">
        <v>569</v>
      </c>
      <c r="K96" s="9" t="s">
        <v>932</v>
      </c>
      <c r="L96" s="9" t="s">
        <v>117</v>
      </c>
      <c r="M96" s="9" t="s">
        <v>664</v>
      </c>
      <c r="N96" s="9" t="s">
        <v>813</v>
      </c>
      <c r="O96" s="9" t="s">
        <v>1028</v>
      </c>
      <c r="P96" s="9" t="s">
        <v>571</v>
      </c>
      <c r="Q96" s="9" t="s">
        <v>572</v>
      </c>
    </row>
    <row r="97" spans="1:17" x14ac:dyDescent="0.25">
      <c r="A97" s="9" t="s">
        <v>289</v>
      </c>
      <c r="B97" s="9" t="s">
        <v>301</v>
      </c>
      <c r="C97" s="9" t="s">
        <v>293</v>
      </c>
      <c r="D97" s="9" t="s">
        <v>294</v>
      </c>
      <c r="E97" s="9" t="s">
        <v>251</v>
      </c>
      <c r="F97" s="9" t="s">
        <v>3</v>
      </c>
      <c r="G97" s="9" t="s">
        <v>568</v>
      </c>
      <c r="H97" s="9" t="s">
        <v>928</v>
      </c>
      <c r="I97" s="9" t="s">
        <v>569</v>
      </c>
      <c r="J97" s="9" t="s">
        <v>569</v>
      </c>
      <c r="K97" s="9" t="s">
        <v>932</v>
      </c>
      <c r="L97" s="9" t="s">
        <v>117</v>
      </c>
      <c r="M97" s="9" t="s">
        <v>731</v>
      </c>
      <c r="N97" s="9" t="s">
        <v>877</v>
      </c>
      <c r="O97" s="9" t="s">
        <v>1029</v>
      </c>
      <c r="P97" s="9" t="s">
        <v>571</v>
      </c>
      <c r="Q97" s="9" t="s">
        <v>572</v>
      </c>
    </row>
    <row r="98" spans="1:17" x14ac:dyDescent="0.25">
      <c r="A98" s="9" t="s">
        <v>384</v>
      </c>
      <c r="B98" s="9" t="s">
        <v>385</v>
      </c>
      <c r="C98" s="9" t="s">
        <v>386</v>
      </c>
      <c r="D98" s="9" t="s">
        <v>387</v>
      </c>
      <c r="E98" s="9" t="s">
        <v>237</v>
      </c>
      <c r="F98" s="9" t="s">
        <v>3</v>
      </c>
      <c r="G98" s="9" t="s">
        <v>568</v>
      </c>
      <c r="H98" s="9" t="s">
        <v>928</v>
      </c>
      <c r="I98" s="9" t="s">
        <v>569</v>
      </c>
      <c r="J98" s="9" t="s">
        <v>569</v>
      </c>
      <c r="K98" s="9" t="s">
        <v>932</v>
      </c>
      <c r="L98" s="9" t="s">
        <v>117</v>
      </c>
      <c r="M98" s="9" t="s">
        <v>752</v>
      </c>
      <c r="N98" s="9" t="s">
        <v>893</v>
      </c>
      <c r="O98" s="9" t="s">
        <v>1030</v>
      </c>
      <c r="P98" s="9" t="s">
        <v>571</v>
      </c>
      <c r="Q98" s="9" t="s">
        <v>572</v>
      </c>
    </row>
    <row r="99" spans="1:17" x14ac:dyDescent="0.25">
      <c r="A99" s="9" t="s">
        <v>426</v>
      </c>
      <c r="B99" s="9" t="s">
        <v>427</v>
      </c>
      <c r="C99" s="9" t="s">
        <v>428</v>
      </c>
      <c r="D99" s="9" t="s">
        <v>429</v>
      </c>
      <c r="E99" s="9" t="s">
        <v>237</v>
      </c>
      <c r="F99" s="9" t="s">
        <v>3</v>
      </c>
      <c r="G99" s="9" t="s">
        <v>568</v>
      </c>
      <c r="H99" s="9" t="s">
        <v>928</v>
      </c>
      <c r="I99" s="9" t="s">
        <v>569</v>
      </c>
      <c r="J99" s="9" t="s">
        <v>569</v>
      </c>
      <c r="K99" s="9" t="s">
        <v>932</v>
      </c>
      <c r="L99" s="9" t="s">
        <v>307</v>
      </c>
      <c r="M99" s="9" t="s">
        <v>731</v>
      </c>
      <c r="N99" s="9" t="s">
        <v>895</v>
      </c>
      <c r="O99" s="9" t="s">
        <v>1031</v>
      </c>
      <c r="P99" s="9" t="s">
        <v>571</v>
      </c>
      <c r="Q99" s="9" t="s">
        <v>572</v>
      </c>
    </row>
    <row r="100" spans="1:17" x14ac:dyDescent="0.25">
      <c r="A100" s="9" t="s">
        <v>454</v>
      </c>
      <c r="B100" s="9" t="s">
        <v>455</v>
      </c>
      <c r="C100" s="9" t="s">
        <v>455</v>
      </c>
      <c r="D100" s="9" t="s">
        <v>456</v>
      </c>
      <c r="E100" s="9" t="s">
        <v>237</v>
      </c>
      <c r="F100" s="9" t="s">
        <v>3</v>
      </c>
      <c r="G100" s="9" t="s">
        <v>568</v>
      </c>
      <c r="H100" s="9" t="s">
        <v>928</v>
      </c>
      <c r="I100" s="9" t="s">
        <v>569</v>
      </c>
      <c r="J100" s="9" t="s">
        <v>569</v>
      </c>
      <c r="K100" s="9" t="s">
        <v>932</v>
      </c>
      <c r="L100" s="9" t="s">
        <v>307</v>
      </c>
      <c r="M100" s="9" t="s">
        <v>764</v>
      </c>
      <c r="N100" s="9" t="s">
        <v>839</v>
      </c>
      <c r="O100" s="9" t="s">
        <v>1032</v>
      </c>
      <c r="P100" s="9" t="s">
        <v>571</v>
      </c>
      <c r="Q100" s="9" t="s">
        <v>572</v>
      </c>
    </row>
    <row r="101" spans="1:17" x14ac:dyDescent="0.25">
      <c r="A101" s="9" t="s">
        <v>459</v>
      </c>
      <c r="B101" s="9" t="s">
        <v>460</v>
      </c>
      <c r="C101" s="9" t="s">
        <v>460</v>
      </c>
      <c r="D101" s="9" t="s">
        <v>461</v>
      </c>
      <c r="E101" s="9" t="s">
        <v>462</v>
      </c>
      <c r="F101" s="9" t="s">
        <v>3</v>
      </c>
      <c r="G101" s="9" t="s">
        <v>568</v>
      </c>
      <c r="H101" s="9" t="s">
        <v>928</v>
      </c>
      <c r="I101" s="9" t="s">
        <v>569</v>
      </c>
      <c r="J101" s="9" t="s">
        <v>569</v>
      </c>
      <c r="K101" s="9" t="s">
        <v>932</v>
      </c>
      <c r="L101" s="9" t="s">
        <v>307</v>
      </c>
      <c r="M101" s="9" t="s">
        <v>765</v>
      </c>
      <c r="N101" s="9" t="s">
        <v>896</v>
      </c>
      <c r="O101" s="9" t="s">
        <v>1033</v>
      </c>
      <c r="P101" s="9" t="s">
        <v>571</v>
      </c>
      <c r="Q101" s="9" t="s">
        <v>572</v>
      </c>
    </row>
    <row r="102" spans="1:17" x14ac:dyDescent="0.25">
      <c r="A102" s="9" t="s">
        <v>503</v>
      </c>
      <c r="B102" s="9" t="s">
        <v>504</v>
      </c>
      <c r="C102" s="9" t="s">
        <v>505</v>
      </c>
      <c r="D102" s="9" t="s">
        <v>506</v>
      </c>
      <c r="E102" s="9" t="s">
        <v>237</v>
      </c>
      <c r="F102" s="9" t="s">
        <v>3</v>
      </c>
      <c r="G102" s="9" t="s">
        <v>568</v>
      </c>
      <c r="H102" s="9" t="s">
        <v>928</v>
      </c>
      <c r="I102" s="9" t="s">
        <v>569</v>
      </c>
      <c r="J102" s="9" t="s">
        <v>569</v>
      </c>
      <c r="K102" s="9" t="s">
        <v>932</v>
      </c>
      <c r="L102" s="9" t="s">
        <v>307</v>
      </c>
      <c r="M102" s="9" t="s">
        <v>768</v>
      </c>
      <c r="N102" s="9" t="s">
        <v>923</v>
      </c>
      <c r="O102" s="9" t="s">
        <v>1034</v>
      </c>
      <c r="P102" s="9" t="s">
        <v>571</v>
      </c>
      <c r="Q102" s="9" t="s">
        <v>572</v>
      </c>
    </row>
    <row r="103" spans="1:17" x14ac:dyDescent="0.25">
      <c r="A103" s="9" t="s">
        <v>536</v>
      </c>
      <c r="B103" s="9" t="s">
        <v>537</v>
      </c>
      <c r="C103" s="9" t="s">
        <v>537</v>
      </c>
      <c r="D103" s="9" t="s">
        <v>538</v>
      </c>
      <c r="E103" s="9" t="s">
        <v>237</v>
      </c>
      <c r="F103" s="9" t="s">
        <v>3</v>
      </c>
      <c r="G103" s="9" t="s">
        <v>568</v>
      </c>
      <c r="H103" s="9" t="s">
        <v>928</v>
      </c>
      <c r="I103" s="9" t="s">
        <v>569</v>
      </c>
      <c r="J103" s="9" t="s">
        <v>569</v>
      </c>
      <c r="K103" s="9" t="s">
        <v>932</v>
      </c>
      <c r="L103" s="9" t="s">
        <v>307</v>
      </c>
      <c r="M103" s="9" t="s">
        <v>769</v>
      </c>
      <c r="N103" s="9" t="s">
        <v>921</v>
      </c>
      <c r="O103" s="9" t="s">
        <v>1035</v>
      </c>
      <c r="P103" s="9" t="s">
        <v>571</v>
      </c>
      <c r="Q103" s="9" t="s">
        <v>572</v>
      </c>
    </row>
    <row r="104" spans="1:17" x14ac:dyDescent="0.25">
      <c r="A104" s="9" t="s">
        <v>512</v>
      </c>
      <c r="B104" s="9" t="s">
        <v>513</v>
      </c>
      <c r="C104" s="9" t="s">
        <v>513</v>
      </c>
      <c r="D104" s="9" t="s">
        <v>514</v>
      </c>
      <c r="E104" s="9" t="s">
        <v>241</v>
      </c>
      <c r="F104" s="9" t="s">
        <v>3</v>
      </c>
      <c r="G104" s="9" t="s">
        <v>568</v>
      </c>
      <c r="H104" s="9" t="s">
        <v>928</v>
      </c>
      <c r="I104" s="9" t="s">
        <v>569</v>
      </c>
      <c r="J104" s="9" t="s">
        <v>569</v>
      </c>
      <c r="K104" s="9" t="s">
        <v>932</v>
      </c>
      <c r="L104" s="9" t="s">
        <v>307</v>
      </c>
      <c r="M104" s="9" t="s">
        <v>790</v>
      </c>
      <c r="N104" s="9" t="s">
        <v>924</v>
      </c>
      <c r="O104" s="9" t="s">
        <v>1036</v>
      </c>
      <c r="P104" s="9" t="s">
        <v>571</v>
      </c>
      <c r="Q104" s="9" t="s">
        <v>572</v>
      </c>
    </row>
    <row r="105" spans="1:17" x14ac:dyDescent="0.25">
      <c r="A105" s="9" t="s">
        <v>563</v>
      </c>
      <c r="B105" s="9" t="s">
        <v>564</v>
      </c>
      <c r="C105" s="9" t="s">
        <v>564</v>
      </c>
      <c r="D105" s="9" t="s">
        <v>565</v>
      </c>
      <c r="E105" s="9" t="s">
        <v>242</v>
      </c>
      <c r="F105" s="9" t="s">
        <v>3</v>
      </c>
      <c r="G105" s="9" t="s">
        <v>568</v>
      </c>
      <c r="H105" s="9" t="s">
        <v>928</v>
      </c>
      <c r="I105" s="9" t="s">
        <v>569</v>
      </c>
      <c r="J105" s="9" t="s">
        <v>569</v>
      </c>
      <c r="K105" s="9" t="s">
        <v>932</v>
      </c>
      <c r="L105" s="9" t="s">
        <v>307</v>
      </c>
      <c r="M105" s="9" t="s">
        <v>789</v>
      </c>
      <c r="N105" s="9" t="s">
        <v>899</v>
      </c>
      <c r="O105" s="9" t="s">
        <v>1037</v>
      </c>
      <c r="P105" s="9" t="s">
        <v>571</v>
      </c>
      <c r="Q105" s="9" t="s">
        <v>572</v>
      </c>
    </row>
    <row r="106" spans="1:17" x14ac:dyDescent="0.25">
      <c r="A106" s="9" t="s">
        <v>602</v>
      </c>
      <c r="B106" s="9" t="s">
        <v>604</v>
      </c>
      <c r="C106" s="9" t="s">
        <v>604</v>
      </c>
      <c r="D106" s="9" t="s">
        <v>603</v>
      </c>
      <c r="E106" s="9" t="s">
        <v>241</v>
      </c>
      <c r="F106" s="9" t="s">
        <v>3</v>
      </c>
      <c r="G106" s="9" t="s">
        <v>568</v>
      </c>
      <c r="H106" s="9" t="s">
        <v>928</v>
      </c>
      <c r="I106" s="9" t="s">
        <v>569</v>
      </c>
      <c r="J106" s="9" t="s">
        <v>569</v>
      </c>
      <c r="K106" s="9" t="s">
        <v>932</v>
      </c>
      <c r="L106" s="9" t="s">
        <v>307</v>
      </c>
      <c r="M106" s="9" t="s">
        <v>758</v>
      </c>
      <c r="N106" s="9" t="s">
        <v>901</v>
      </c>
      <c r="O106" s="9" t="s">
        <v>1038</v>
      </c>
      <c r="P106" s="9" t="s">
        <v>571</v>
      </c>
      <c r="Q106" s="9" t="s">
        <v>572</v>
      </c>
    </row>
    <row r="107" spans="1:17" x14ac:dyDescent="0.25">
      <c r="A107" s="9" t="s">
        <v>613</v>
      </c>
      <c r="B107" s="9" t="s">
        <v>615</v>
      </c>
      <c r="C107" s="9" t="s">
        <v>615</v>
      </c>
      <c r="D107" s="9" t="s">
        <v>614</v>
      </c>
      <c r="E107" s="9" t="s">
        <v>237</v>
      </c>
      <c r="F107" s="9" t="s">
        <v>3</v>
      </c>
      <c r="G107" s="9" t="s">
        <v>568</v>
      </c>
      <c r="H107" s="9" t="s">
        <v>928</v>
      </c>
      <c r="I107" s="9" t="s">
        <v>569</v>
      </c>
      <c r="J107" s="9" t="s">
        <v>569</v>
      </c>
      <c r="K107" s="9" t="s">
        <v>932</v>
      </c>
      <c r="L107" s="9" t="s">
        <v>307</v>
      </c>
      <c r="M107" s="9" t="s">
        <v>759</v>
      </c>
      <c r="N107" s="9" t="s">
        <v>902</v>
      </c>
      <c r="O107" s="9" t="s">
        <v>1039</v>
      </c>
      <c r="P107" s="9" t="s">
        <v>571</v>
      </c>
      <c r="Q107" s="9" t="s">
        <v>572</v>
      </c>
    </row>
    <row r="108" spans="1:17" x14ac:dyDescent="0.25">
      <c r="A108" s="9" t="s">
        <v>617</v>
      </c>
      <c r="B108" s="9" t="s">
        <v>618</v>
      </c>
      <c r="C108" s="9" t="s">
        <v>618</v>
      </c>
      <c r="D108" s="9" t="s">
        <v>619</v>
      </c>
      <c r="E108" s="9" t="s">
        <v>237</v>
      </c>
      <c r="F108" s="9" t="s">
        <v>3</v>
      </c>
      <c r="G108" s="9" t="s">
        <v>568</v>
      </c>
      <c r="H108" s="9" t="s">
        <v>928</v>
      </c>
      <c r="I108" s="9" t="s">
        <v>569</v>
      </c>
      <c r="J108" s="9" t="s">
        <v>569</v>
      </c>
      <c r="K108" s="9" t="s">
        <v>932</v>
      </c>
      <c r="L108" s="9" t="s">
        <v>307</v>
      </c>
      <c r="M108" s="9" t="s">
        <v>760</v>
      </c>
      <c r="N108" s="9" t="s">
        <v>903</v>
      </c>
      <c r="O108" s="9" t="s">
        <v>1040</v>
      </c>
      <c r="P108" s="9" t="s">
        <v>571</v>
      </c>
      <c r="Q108" s="9" t="s">
        <v>572</v>
      </c>
    </row>
    <row r="109" spans="1:17" x14ac:dyDescent="0.25">
      <c r="A109" s="9" t="s">
        <v>622</v>
      </c>
      <c r="B109" s="9" t="s">
        <v>623</v>
      </c>
      <c r="C109" s="9" t="s">
        <v>623</v>
      </c>
      <c r="D109" s="9" t="s">
        <v>624</v>
      </c>
      <c r="E109" s="9" t="s">
        <v>241</v>
      </c>
      <c r="F109" s="9" t="s">
        <v>3</v>
      </c>
      <c r="G109" s="9" t="s">
        <v>568</v>
      </c>
      <c r="H109" s="9" t="s">
        <v>928</v>
      </c>
      <c r="I109" s="9" t="s">
        <v>569</v>
      </c>
      <c r="J109" s="9" t="s">
        <v>569</v>
      </c>
      <c r="K109" s="9" t="s">
        <v>932</v>
      </c>
      <c r="L109" s="9" t="s">
        <v>307</v>
      </c>
      <c r="M109" s="9" t="s">
        <v>761</v>
      </c>
      <c r="N109" s="9" t="s">
        <v>904</v>
      </c>
      <c r="O109" s="9" t="s">
        <v>1041</v>
      </c>
      <c r="P109" s="9" t="s">
        <v>571</v>
      </c>
      <c r="Q109" s="9" t="s">
        <v>572</v>
      </c>
    </row>
    <row r="110" spans="1:17" x14ac:dyDescent="0.25">
      <c r="A110" s="9" t="s">
        <v>594</v>
      </c>
      <c r="B110" s="9" t="s">
        <v>595</v>
      </c>
      <c r="C110" s="9" t="s">
        <v>595</v>
      </c>
      <c r="D110" s="9" t="s">
        <v>596</v>
      </c>
      <c r="E110" s="9" t="s">
        <v>237</v>
      </c>
      <c r="F110" s="9" t="s">
        <v>3</v>
      </c>
      <c r="G110" s="9" t="s">
        <v>568</v>
      </c>
      <c r="H110" s="9" t="s">
        <v>928</v>
      </c>
      <c r="I110" s="9" t="s">
        <v>569</v>
      </c>
      <c r="J110" s="9" t="s">
        <v>569</v>
      </c>
      <c r="K110" s="9" t="s">
        <v>932</v>
      </c>
      <c r="L110" s="9" t="s">
        <v>307</v>
      </c>
      <c r="M110" s="9" t="s">
        <v>762</v>
      </c>
      <c r="N110" s="9" t="s">
        <v>905</v>
      </c>
      <c r="O110" s="9" t="s">
        <v>1042</v>
      </c>
      <c r="P110" s="9" t="s">
        <v>571</v>
      </c>
      <c r="Q110" s="9" t="s">
        <v>572</v>
      </c>
    </row>
    <row r="111" spans="1:17" x14ac:dyDescent="0.25">
      <c r="A111" s="9" t="s">
        <v>374</v>
      </c>
      <c r="B111" s="9" t="s">
        <v>375</v>
      </c>
      <c r="C111" s="9" t="s">
        <v>375</v>
      </c>
      <c r="D111" s="9" t="s">
        <v>376</v>
      </c>
      <c r="E111" s="9" t="s">
        <v>246</v>
      </c>
      <c r="F111" s="9" t="s">
        <v>3</v>
      </c>
      <c r="G111" s="9" t="s">
        <v>590</v>
      </c>
      <c r="H111" s="9" t="s">
        <v>928</v>
      </c>
      <c r="I111" s="9" t="s">
        <v>569</v>
      </c>
      <c r="J111" s="9" t="s">
        <v>569</v>
      </c>
      <c r="K111" s="9" t="s">
        <v>932</v>
      </c>
      <c r="L111" s="9" t="s">
        <v>307</v>
      </c>
      <c r="M111" s="9" t="s">
        <v>773</v>
      </c>
      <c r="N111" s="9" t="s">
        <v>917</v>
      </c>
      <c r="O111" s="9" t="s">
        <v>1043</v>
      </c>
      <c r="P111" s="9" t="s">
        <v>571</v>
      </c>
      <c r="Q111" s="9" t="s">
        <v>572</v>
      </c>
    </row>
    <row r="112" spans="1:17" x14ac:dyDescent="0.25">
      <c r="A112" s="9" t="s">
        <v>152</v>
      </c>
      <c r="B112" s="9" t="s">
        <v>202</v>
      </c>
      <c r="C112" s="9" t="s">
        <v>202</v>
      </c>
      <c r="D112" s="9" t="s">
        <v>42</v>
      </c>
      <c r="E112" s="9" t="s">
        <v>237</v>
      </c>
      <c r="F112" s="9" t="s">
        <v>3</v>
      </c>
      <c r="G112" s="9" t="s">
        <v>590</v>
      </c>
      <c r="H112" s="9" t="s">
        <v>928</v>
      </c>
      <c r="I112" s="9" t="s">
        <v>569</v>
      </c>
      <c r="J112" s="9" t="s">
        <v>569</v>
      </c>
      <c r="K112" s="9" t="s">
        <v>932</v>
      </c>
      <c r="L112" s="9" t="s">
        <v>307</v>
      </c>
      <c r="M112" s="9" t="s">
        <v>776</v>
      </c>
      <c r="N112" s="9" t="s">
        <v>909</v>
      </c>
      <c r="O112" s="9" t="s">
        <v>980</v>
      </c>
      <c r="P112" s="9" t="s">
        <v>571</v>
      </c>
      <c r="Q112" s="9" t="s">
        <v>572</v>
      </c>
    </row>
    <row r="113" spans="1:17" x14ac:dyDescent="0.25">
      <c r="A113" s="9" t="s">
        <v>123</v>
      </c>
      <c r="B113" s="9" t="s">
        <v>17</v>
      </c>
      <c r="C113" s="9" t="s">
        <v>17</v>
      </c>
      <c r="D113" s="9" t="s">
        <v>122</v>
      </c>
      <c r="E113" s="9" t="s">
        <v>236</v>
      </c>
      <c r="F113" s="9" t="s">
        <v>3</v>
      </c>
      <c r="G113" s="9" t="s">
        <v>568</v>
      </c>
      <c r="H113" s="9" t="s">
        <v>928</v>
      </c>
      <c r="I113" s="9" t="s">
        <v>569</v>
      </c>
      <c r="J113" s="9" t="s">
        <v>569</v>
      </c>
      <c r="K113" s="9" t="s">
        <v>932</v>
      </c>
      <c r="L113" s="9" t="s">
        <v>307</v>
      </c>
      <c r="M113" s="9" t="s">
        <v>757</v>
      </c>
      <c r="N113" s="9" t="s">
        <v>908</v>
      </c>
      <c r="O113" s="9" t="s">
        <v>1044</v>
      </c>
      <c r="P113" s="9" t="s">
        <v>571</v>
      </c>
      <c r="Q113" s="9" t="s">
        <v>572</v>
      </c>
    </row>
    <row r="114" spans="1:17" x14ac:dyDescent="0.25">
      <c r="A114" s="9" t="s">
        <v>467</v>
      </c>
      <c r="B114" s="9" t="s">
        <v>468</v>
      </c>
      <c r="C114" s="9" t="s">
        <v>468</v>
      </c>
      <c r="D114" s="9" t="s">
        <v>469</v>
      </c>
      <c r="E114" s="9" t="s">
        <v>242</v>
      </c>
      <c r="F114" s="9" t="s">
        <v>3</v>
      </c>
      <c r="G114" s="9" t="s">
        <v>568</v>
      </c>
      <c r="H114" s="9" t="s">
        <v>928</v>
      </c>
      <c r="I114" s="9" t="s">
        <v>569</v>
      </c>
      <c r="J114" s="9" t="s">
        <v>569</v>
      </c>
      <c r="K114" s="9" t="s">
        <v>932</v>
      </c>
      <c r="L114" s="9" t="s">
        <v>307</v>
      </c>
      <c r="M114" s="9" t="s">
        <v>774</v>
      </c>
      <c r="N114" s="9" t="s">
        <v>914</v>
      </c>
      <c r="O114" s="9" t="s">
        <v>1045</v>
      </c>
      <c r="P114" s="9" t="s">
        <v>571</v>
      </c>
      <c r="Q114" s="9" t="s">
        <v>572</v>
      </c>
    </row>
    <row r="115" spans="1:17" x14ac:dyDescent="0.25">
      <c r="A115" s="9" t="s">
        <v>365</v>
      </c>
      <c r="B115" s="9" t="s">
        <v>366</v>
      </c>
      <c r="C115" s="9" t="s">
        <v>367</v>
      </c>
      <c r="D115" s="9" t="s">
        <v>368</v>
      </c>
      <c r="E115" s="9" t="s">
        <v>237</v>
      </c>
      <c r="F115" s="9" t="s">
        <v>3</v>
      </c>
      <c r="G115" s="9" t="s">
        <v>568</v>
      </c>
      <c r="H115" s="9" t="s">
        <v>928</v>
      </c>
      <c r="I115" s="9" t="s">
        <v>569</v>
      </c>
      <c r="J115" s="9" t="s">
        <v>569</v>
      </c>
      <c r="K115" s="9" t="s">
        <v>932</v>
      </c>
      <c r="L115" s="9" t="s">
        <v>307</v>
      </c>
      <c r="M115" s="9" t="s">
        <v>779</v>
      </c>
      <c r="N115" s="9" t="s">
        <v>911</v>
      </c>
      <c r="O115" s="9" t="s">
        <v>1046</v>
      </c>
      <c r="P115" s="9" t="s">
        <v>571</v>
      </c>
      <c r="Q115" s="9" t="s">
        <v>572</v>
      </c>
    </row>
    <row r="116" spans="1:17" x14ac:dyDescent="0.25">
      <c r="A116" s="9" t="s">
        <v>209</v>
      </c>
      <c r="B116" s="9" t="s">
        <v>215</v>
      </c>
      <c r="C116" s="9" t="s">
        <v>216</v>
      </c>
      <c r="D116" s="9" t="s">
        <v>191</v>
      </c>
      <c r="E116" s="9" t="s">
        <v>247</v>
      </c>
      <c r="F116" s="9" t="s">
        <v>3</v>
      </c>
      <c r="G116" s="9" t="s">
        <v>568</v>
      </c>
      <c r="H116" s="9" t="s">
        <v>928</v>
      </c>
      <c r="I116" s="9" t="s">
        <v>569</v>
      </c>
      <c r="J116" s="9" t="s">
        <v>569</v>
      </c>
      <c r="K116" s="9" t="s">
        <v>932</v>
      </c>
      <c r="L116" s="9" t="s">
        <v>307</v>
      </c>
      <c r="M116" s="9" t="s">
        <v>778</v>
      </c>
      <c r="N116" s="9" t="s">
        <v>906</v>
      </c>
      <c r="O116" s="9" t="s">
        <v>1047</v>
      </c>
      <c r="P116" s="9" t="s">
        <v>571</v>
      </c>
      <c r="Q116" s="9" t="s">
        <v>572</v>
      </c>
    </row>
    <row r="117" spans="1:17" x14ac:dyDescent="0.25">
      <c r="A117" s="9" t="s">
        <v>539</v>
      </c>
      <c r="B117" s="9" t="s">
        <v>540</v>
      </c>
      <c r="C117" s="9" t="s">
        <v>540</v>
      </c>
      <c r="D117" s="9" t="s">
        <v>545</v>
      </c>
      <c r="E117" s="9" t="s">
        <v>237</v>
      </c>
      <c r="F117" s="9" t="s">
        <v>3</v>
      </c>
      <c r="G117" s="9" t="s">
        <v>590</v>
      </c>
      <c r="H117" s="9" t="s">
        <v>928</v>
      </c>
      <c r="I117" s="9" t="s">
        <v>569</v>
      </c>
      <c r="J117" s="9" t="s">
        <v>569</v>
      </c>
      <c r="K117" s="9" t="s">
        <v>932</v>
      </c>
      <c r="L117" s="9" t="s">
        <v>307</v>
      </c>
      <c r="M117" s="9" t="s">
        <v>772</v>
      </c>
      <c r="N117" s="9" t="s">
        <v>900</v>
      </c>
      <c r="O117" s="9" t="s">
        <v>1048</v>
      </c>
      <c r="P117" s="9" t="s">
        <v>571</v>
      </c>
      <c r="Q117" s="9" t="s">
        <v>572</v>
      </c>
    </row>
    <row r="118" spans="1:17" x14ac:dyDescent="0.25">
      <c r="A118" s="9" t="s">
        <v>103</v>
      </c>
      <c r="B118" s="9" t="s">
        <v>282</v>
      </c>
      <c r="C118" s="9" t="s">
        <v>282</v>
      </c>
      <c r="D118" s="9" t="s">
        <v>300</v>
      </c>
      <c r="E118" s="9" t="s">
        <v>243</v>
      </c>
      <c r="F118" s="9" t="s">
        <v>3</v>
      </c>
      <c r="G118" s="9" t="s">
        <v>568</v>
      </c>
      <c r="H118" s="9" t="s">
        <v>928</v>
      </c>
      <c r="I118" s="9" t="s">
        <v>569</v>
      </c>
      <c r="J118" s="9" t="s">
        <v>569</v>
      </c>
      <c r="K118" s="9" t="s">
        <v>932</v>
      </c>
      <c r="L118" s="9" t="s">
        <v>307</v>
      </c>
      <c r="M118" s="9" t="s">
        <v>788</v>
      </c>
      <c r="N118" s="9" t="s">
        <v>919</v>
      </c>
      <c r="O118" s="9" t="s">
        <v>1049</v>
      </c>
      <c r="P118" s="9" t="s">
        <v>571</v>
      </c>
      <c r="Q118" s="9" t="s">
        <v>572</v>
      </c>
    </row>
    <row r="119" spans="1:17" x14ac:dyDescent="0.25">
      <c r="A119" s="9" t="s">
        <v>203</v>
      </c>
      <c r="B119" s="9" t="s">
        <v>204</v>
      </c>
      <c r="C119" s="9" t="s">
        <v>204</v>
      </c>
      <c r="D119" s="9" t="s">
        <v>205</v>
      </c>
      <c r="E119" s="9" t="s">
        <v>246</v>
      </c>
      <c r="F119" s="9" t="s">
        <v>3</v>
      </c>
      <c r="G119" s="9" t="s">
        <v>568</v>
      </c>
      <c r="H119" s="9" t="s">
        <v>928</v>
      </c>
      <c r="I119" s="9" t="s">
        <v>569</v>
      </c>
      <c r="J119" s="9" t="s">
        <v>569</v>
      </c>
      <c r="K119" s="9" t="s">
        <v>932</v>
      </c>
      <c r="L119" s="9" t="s">
        <v>307</v>
      </c>
      <c r="M119" s="9" t="s">
        <v>784</v>
      </c>
      <c r="N119" s="9" t="s">
        <v>912</v>
      </c>
      <c r="O119" s="9" t="s">
        <v>1050</v>
      </c>
      <c r="P119" s="9" t="s">
        <v>571</v>
      </c>
      <c r="Q119" s="9" t="s">
        <v>572</v>
      </c>
    </row>
    <row r="120" spans="1:17" x14ac:dyDescent="0.25">
      <c r="A120" s="9" t="s">
        <v>380</v>
      </c>
      <c r="B120" s="9" t="s">
        <v>381</v>
      </c>
      <c r="C120" s="9" t="s">
        <v>382</v>
      </c>
      <c r="D120" s="9" t="s">
        <v>383</v>
      </c>
      <c r="E120" s="9" t="s">
        <v>237</v>
      </c>
      <c r="F120" s="9" t="s">
        <v>3</v>
      </c>
      <c r="G120" s="9" t="s">
        <v>568</v>
      </c>
      <c r="H120" s="9" t="s">
        <v>928</v>
      </c>
      <c r="I120" s="9" t="s">
        <v>569</v>
      </c>
      <c r="J120" s="9" t="s">
        <v>569</v>
      </c>
      <c r="K120" s="9" t="s">
        <v>932</v>
      </c>
      <c r="L120" s="9" t="s">
        <v>307</v>
      </c>
      <c r="M120" s="9" t="s">
        <v>763</v>
      </c>
      <c r="N120" s="9" t="s">
        <v>894</v>
      </c>
      <c r="O120" s="9" t="s">
        <v>1051</v>
      </c>
      <c r="P120" s="9" t="s">
        <v>571</v>
      </c>
      <c r="Q120" s="9" t="s">
        <v>572</v>
      </c>
    </row>
    <row r="121" spans="1:17" x14ac:dyDescent="0.25">
      <c r="A121" s="9" t="s">
        <v>259</v>
      </c>
      <c r="B121" s="9" t="s">
        <v>260</v>
      </c>
      <c r="C121" s="9" t="s">
        <v>261</v>
      </c>
      <c r="D121" s="9" t="s">
        <v>401</v>
      </c>
      <c r="E121" s="9" t="s">
        <v>237</v>
      </c>
      <c r="F121" s="9" t="s">
        <v>3</v>
      </c>
      <c r="G121" s="9" t="s">
        <v>568</v>
      </c>
      <c r="H121" s="9" t="s">
        <v>928</v>
      </c>
      <c r="I121" s="9" t="s">
        <v>569</v>
      </c>
      <c r="J121" s="9" t="s">
        <v>569</v>
      </c>
      <c r="K121" s="9" t="s">
        <v>932</v>
      </c>
      <c r="L121" s="9" t="s">
        <v>307</v>
      </c>
      <c r="M121" s="9" t="s">
        <v>777</v>
      </c>
      <c r="N121" s="9" t="s">
        <v>920</v>
      </c>
      <c r="O121" s="9" t="s">
        <v>1052</v>
      </c>
      <c r="P121" s="9" t="s">
        <v>571</v>
      </c>
      <c r="Q121" s="9" t="s">
        <v>572</v>
      </c>
    </row>
    <row r="122" spans="1:17" x14ac:dyDescent="0.25">
      <c r="A122" s="9" t="s">
        <v>106</v>
      </c>
      <c r="B122" s="9" t="s">
        <v>107</v>
      </c>
      <c r="C122" s="9" t="s">
        <v>107</v>
      </c>
      <c r="D122" s="9" t="s">
        <v>1053</v>
      </c>
      <c r="E122" s="9" t="s">
        <v>239</v>
      </c>
      <c r="F122" s="9" t="s">
        <v>3</v>
      </c>
      <c r="G122" s="9" t="s">
        <v>568</v>
      </c>
      <c r="H122" s="9" t="s">
        <v>928</v>
      </c>
      <c r="I122" s="9" t="s">
        <v>569</v>
      </c>
      <c r="J122" s="9" t="s">
        <v>569</v>
      </c>
      <c r="K122" s="9" t="s">
        <v>932</v>
      </c>
      <c r="L122" s="9" t="s">
        <v>307</v>
      </c>
      <c r="M122" s="9" t="s">
        <v>780</v>
      </c>
      <c r="N122" s="9" t="s">
        <v>915</v>
      </c>
      <c r="O122" s="9" t="s">
        <v>1054</v>
      </c>
      <c r="P122" s="9" t="s">
        <v>571</v>
      </c>
      <c r="Q122" s="9" t="s">
        <v>572</v>
      </c>
    </row>
    <row r="123" spans="1:17" x14ac:dyDescent="0.25">
      <c r="A123" s="9" t="s">
        <v>173</v>
      </c>
      <c r="B123" s="9" t="s">
        <v>40</v>
      </c>
      <c r="C123" s="9" t="s">
        <v>41</v>
      </c>
      <c r="D123" s="9" t="s">
        <v>40</v>
      </c>
      <c r="E123" s="9" t="s">
        <v>242</v>
      </c>
      <c r="F123" s="9" t="s">
        <v>3</v>
      </c>
      <c r="G123" s="9" t="s">
        <v>590</v>
      </c>
      <c r="H123" s="9" t="s">
        <v>928</v>
      </c>
      <c r="I123" s="9" t="s">
        <v>569</v>
      </c>
      <c r="J123" s="9" t="s">
        <v>569</v>
      </c>
      <c r="K123" s="9" t="s">
        <v>932</v>
      </c>
      <c r="L123" s="9" t="s">
        <v>307</v>
      </c>
      <c r="M123" s="9" t="s">
        <v>775</v>
      </c>
      <c r="N123" s="9" t="s">
        <v>910</v>
      </c>
      <c r="O123" s="9" t="s">
        <v>1055</v>
      </c>
      <c r="P123" s="9" t="s">
        <v>571</v>
      </c>
      <c r="Q123" s="9" t="s">
        <v>572</v>
      </c>
    </row>
    <row r="124" spans="1:17" x14ac:dyDescent="0.25">
      <c r="A124" s="9" t="s">
        <v>114</v>
      </c>
      <c r="B124" s="9" t="s">
        <v>115</v>
      </c>
      <c r="C124" s="9" t="s">
        <v>115</v>
      </c>
      <c r="D124" s="9" t="s">
        <v>221</v>
      </c>
      <c r="E124" s="9" t="s">
        <v>236</v>
      </c>
      <c r="F124" s="9" t="s">
        <v>3</v>
      </c>
      <c r="G124" s="9" t="s">
        <v>568</v>
      </c>
      <c r="H124" s="9" t="s">
        <v>928</v>
      </c>
      <c r="I124" s="9" t="s">
        <v>569</v>
      </c>
      <c r="J124" s="9" t="s">
        <v>569</v>
      </c>
      <c r="K124" s="9" t="s">
        <v>932</v>
      </c>
      <c r="L124" s="9" t="s">
        <v>307</v>
      </c>
      <c r="M124" s="9" t="s">
        <v>781</v>
      </c>
      <c r="N124" s="9" t="s">
        <v>913</v>
      </c>
      <c r="O124" s="9" t="s">
        <v>1056</v>
      </c>
      <c r="P124" s="9" t="s">
        <v>571</v>
      </c>
      <c r="Q124" s="9" t="s">
        <v>572</v>
      </c>
    </row>
    <row r="125" spans="1:17" x14ac:dyDescent="0.25">
      <c r="A125" s="9" t="s">
        <v>66</v>
      </c>
      <c r="B125" s="9" t="s">
        <v>67</v>
      </c>
      <c r="C125" s="9" t="s">
        <v>67</v>
      </c>
      <c r="D125" s="9" t="s">
        <v>65</v>
      </c>
      <c r="E125" s="9" t="s">
        <v>237</v>
      </c>
      <c r="F125" s="9" t="s">
        <v>3</v>
      </c>
      <c r="G125" s="9" t="s">
        <v>590</v>
      </c>
      <c r="H125" s="9" t="s">
        <v>928</v>
      </c>
      <c r="I125" s="9" t="s">
        <v>569</v>
      </c>
      <c r="J125" s="9" t="s">
        <v>569</v>
      </c>
      <c r="K125" s="9" t="s">
        <v>932</v>
      </c>
      <c r="L125" s="9" t="s">
        <v>307</v>
      </c>
      <c r="M125" s="9" t="s">
        <v>782</v>
      </c>
      <c r="N125" s="9" t="s">
        <v>916</v>
      </c>
      <c r="O125" s="9" t="s">
        <v>1057</v>
      </c>
      <c r="P125" s="9" t="s">
        <v>571</v>
      </c>
      <c r="Q125" s="9" t="s">
        <v>572</v>
      </c>
    </row>
    <row r="126" spans="1:17" x14ac:dyDescent="0.25">
      <c r="A126" s="9" t="s">
        <v>27</v>
      </c>
      <c r="B126" s="9" t="s">
        <v>199</v>
      </c>
      <c r="C126" s="9" t="s">
        <v>138</v>
      </c>
      <c r="D126" s="9" t="s">
        <v>373</v>
      </c>
      <c r="E126" s="9" t="s">
        <v>239</v>
      </c>
      <c r="F126" s="9" t="s">
        <v>3</v>
      </c>
      <c r="G126" s="9" t="s">
        <v>590</v>
      </c>
      <c r="H126" s="9" t="s">
        <v>928</v>
      </c>
      <c r="I126" s="9" t="s">
        <v>569</v>
      </c>
      <c r="J126" s="9" t="s">
        <v>569</v>
      </c>
      <c r="K126" s="9" t="s">
        <v>932</v>
      </c>
      <c r="L126" s="9" t="s">
        <v>307</v>
      </c>
      <c r="M126" s="9" t="s">
        <v>783</v>
      </c>
      <c r="N126" s="9" t="s">
        <v>918</v>
      </c>
      <c r="O126" s="9" t="s">
        <v>1058</v>
      </c>
      <c r="P126" s="9" t="s">
        <v>571</v>
      </c>
      <c r="Q126" s="9" t="s">
        <v>572</v>
      </c>
    </row>
    <row r="127" spans="1:17" x14ac:dyDescent="0.25">
      <c r="A127" s="9" t="s">
        <v>296</v>
      </c>
      <c r="B127" s="9" t="s">
        <v>297</v>
      </c>
      <c r="C127" s="9" t="s">
        <v>297</v>
      </c>
      <c r="D127" s="9" t="s">
        <v>441</v>
      </c>
      <c r="E127" s="9" t="s">
        <v>240</v>
      </c>
      <c r="F127" s="9" t="s">
        <v>3</v>
      </c>
      <c r="G127" s="9" t="s">
        <v>568</v>
      </c>
      <c r="H127" s="9" t="s">
        <v>928</v>
      </c>
      <c r="I127" s="9" t="s">
        <v>569</v>
      </c>
      <c r="J127" s="9" t="s">
        <v>569</v>
      </c>
      <c r="K127" s="9" t="s">
        <v>932</v>
      </c>
      <c r="L127" s="9" t="s">
        <v>307</v>
      </c>
      <c r="M127" s="9" t="s">
        <v>786</v>
      </c>
      <c r="N127" s="9" t="s">
        <v>922</v>
      </c>
      <c r="O127" s="9" t="s">
        <v>1059</v>
      </c>
      <c r="P127" s="9" t="s">
        <v>571</v>
      </c>
      <c r="Q127" s="9" t="s">
        <v>572</v>
      </c>
    </row>
    <row r="128" spans="1:17" x14ac:dyDescent="0.25">
      <c r="A128" s="9" t="s">
        <v>160</v>
      </c>
      <c r="B128" s="9" t="s">
        <v>102</v>
      </c>
      <c r="C128" s="9" t="s">
        <v>102</v>
      </c>
      <c r="D128" s="9" t="s">
        <v>290</v>
      </c>
      <c r="E128" s="9" t="s">
        <v>237</v>
      </c>
      <c r="F128" s="9" t="s">
        <v>3</v>
      </c>
      <c r="G128" s="9" t="s">
        <v>590</v>
      </c>
      <c r="H128" s="9" t="s">
        <v>928</v>
      </c>
      <c r="I128" s="9" t="s">
        <v>569</v>
      </c>
      <c r="J128" s="9" t="s">
        <v>569</v>
      </c>
      <c r="K128" s="9" t="s">
        <v>932</v>
      </c>
      <c r="L128" s="9" t="s">
        <v>307</v>
      </c>
      <c r="M128" s="9" t="s">
        <v>787</v>
      </c>
      <c r="N128" s="9" t="s">
        <v>925</v>
      </c>
      <c r="O128" s="9" t="s">
        <v>1060</v>
      </c>
      <c r="P128" s="9" t="s">
        <v>571</v>
      </c>
      <c r="Q128" s="9" t="s">
        <v>572</v>
      </c>
    </row>
    <row r="129" spans="1:17" x14ac:dyDescent="0.25">
      <c r="A129" s="9" t="s">
        <v>625</v>
      </c>
      <c r="B129" s="9" t="s">
        <v>626</v>
      </c>
      <c r="C129" s="9" t="s">
        <v>626</v>
      </c>
      <c r="D129" s="9" t="s">
        <v>627</v>
      </c>
      <c r="E129" s="9" t="s">
        <v>240</v>
      </c>
      <c r="F129" s="9" t="s">
        <v>3</v>
      </c>
      <c r="G129" s="9" t="s">
        <v>568</v>
      </c>
      <c r="H129" s="9" t="s">
        <v>928</v>
      </c>
      <c r="I129" s="9" t="s">
        <v>569</v>
      </c>
      <c r="J129" s="9" t="s">
        <v>569</v>
      </c>
      <c r="K129" s="9" t="s">
        <v>932</v>
      </c>
      <c r="L129" s="9" t="s">
        <v>307</v>
      </c>
      <c r="M129" s="9" t="s">
        <v>771</v>
      </c>
      <c r="N129" s="9" t="s">
        <v>890</v>
      </c>
      <c r="O129" s="9" t="s">
        <v>1061</v>
      </c>
      <c r="P129" s="9" t="s">
        <v>580</v>
      </c>
      <c r="Q129" s="9" t="s">
        <v>572</v>
      </c>
    </row>
    <row r="130" spans="1:17" x14ac:dyDescent="0.25">
      <c r="A130" s="9" t="s">
        <v>500</v>
      </c>
      <c r="B130" s="9" t="s">
        <v>501</v>
      </c>
      <c r="C130" s="9" t="s">
        <v>501</v>
      </c>
      <c r="D130" s="9" t="s">
        <v>502</v>
      </c>
      <c r="E130" s="9" t="s">
        <v>242</v>
      </c>
      <c r="F130" s="9" t="s">
        <v>3</v>
      </c>
      <c r="G130" s="9" t="s">
        <v>568</v>
      </c>
      <c r="H130" s="9" t="s">
        <v>928</v>
      </c>
      <c r="I130" s="9" t="s">
        <v>569</v>
      </c>
      <c r="J130" s="9" t="s">
        <v>569</v>
      </c>
      <c r="K130" s="9" t="s">
        <v>932</v>
      </c>
      <c r="L130" s="9" t="s">
        <v>307</v>
      </c>
      <c r="M130" s="9" t="s">
        <v>767</v>
      </c>
      <c r="N130" s="9" t="s">
        <v>898</v>
      </c>
      <c r="O130" s="9" t="s">
        <v>1062</v>
      </c>
      <c r="P130" s="9" t="s">
        <v>571</v>
      </c>
      <c r="Q130" s="9" t="s">
        <v>572</v>
      </c>
    </row>
    <row r="131" spans="1:17" x14ac:dyDescent="0.25">
      <c r="A131" s="9" t="s">
        <v>463</v>
      </c>
      <c r="B131" s="9" t="s">
        <v>464</v>
      </c>
      <c r="C131" s="9" t="s">
        <v>465</v>
      </c>
      <c r="D131" s="9" t="s">
        <v>466</v>
      </c>
      <c r="E131" s="9" t="s">
        <v>236</v>
      </c>
      <c r="F131" s="9" t="s">
        <v>3</v>
      </c>
      <c r="G131" s="9" t="s">
        <v>568</v>
      </c>
      <c r="H131" s="9" t="s">
        <v>928</v>
      </c>
      <c r="I131" s="9" t="s">
        <v>569</v>
      </c>
      <c r="J131" s="9" t="s">
        <v>569</v>
      </c>
      <c r="K131" s="9" t="s">
        <v>932</v>
      </c>
      <c r="L131" s="9" t="s">
        <v>307</v>
      </c>
      <c r="M131" s="9" t="s">
        <v>766</v>
      </c>
      <c r="N131" s="9" t="s">
        <v>897</v>
      </c>
      <c r="O131" s="9" t="s">
        <v>1063</v>
      </c>
      <c r="P131" s="9" t="s">
        <v>571</v>
      </c>
      <c r="Q131" s="9" t="s">
        <v>572</v>
      </c>
    </row>
    <row r="132" spans="1:17" x14ac:dyDescent="0.25">
      <c r="A132" s="9" t="s">
        <v>407</v>
      </c>
      <c r="B132" s="9" t="s">
        <v>408</v>
      </c>
      <c r="C132" s="9" t="s">
        <v>408</v>
      </c>
      <c r="D132" s="9" t="s">
        <v>409</v>
      </c>
      <c r="E132" s="9" t="s">
        <v>237</v>
      </c>
      <c r="F132" s="9" t="s">
        <v>3</v>
      </c>
      <c r="G132" s="9" t="s">
        <v>568</v>
      </c>
      <c r="H132" s="9" t="s">
        <v>928</v>
      </c>
      <c r="I132" s="9" t="s">
        <v>569</v>
      </c>
      <c r="J132" s="9" t="s">
        <v>569</v>
      </c>
      <c r="K132" s="9" t="s">
        <v>932</v>
      </c>
      <c r="L132" s="9" t="s">
        <v>307</v>
      </c>
      <c r="M132" s="9" t="s">
        <v>770</v>
      </c>
      <c r="N132" s="9" t="s">
        <v>907</v>
      </c>
      <c r="O132" s="9" t="s">
        <v>1064</v>
      </c>
      <c r="P132" s="9" t="s">
        <v>571</v>
      </c>
      <c r="Q132" s="9" t="s">
        <v>572</v>
      </c>
    </row>
    <row r="133" spans="1:17" x14ac:dyDescent="0.25">
      <c r="A133" s="9" t="s">
        <v>210</v>
      </c>
      <c r="B133" s="9" t="s">
        <v>225</v>
      </c>
      <c r="C133" s="9" t="s">
        <v>226</v>
      </c>
      <c r="D133" s="9" t="s">
        <v>252</v>
      </c>
      <c r="E133" s="9" t="s">
        <v>236</v>
      </c>
      <c r="F133" s="9" t="s">
        <v>3</v>
      </c>
      <c r="G133" s="9" t="s">
        <v>568</v>
      </c>
      <c r="H133" s="9" t="s">
        <v>928</v>
      </c>
      <c r="I133" s="9" t="s">
        <v>569</v>
      </c>
      <c r="K133" s="9" t="s">
        <v>932</v>
      </c>
      <c r="L133" s="9" t="s">
        <v>117</v>
      </c>
      <c r="M133" s="9" t="s">
        <v>697</v>
      </c>
      <c r="N133" s="9" t="s">
        <v>828</v>
      </c>
      <c r="O133" s="9" t="s">
        <v>1066</v>
      </c>
      <c r="P133" s="9" t="s">
        <v>580</v>
      </c>
      <c r="Q133" s="9" t="s">
        <v>572</v>
      </c>
    </row>
    <row r="134" spans="1:17" x14ac:dyDescent="0.25">
      <c r="A134" s="9" t="s">
        <v>543</v>
      </c>
      <c r="B134" s="9" t="s">
        <v>547</v>
      </c>
      <c r="C134" s="9" t="s">
        <v>547</v>
      </c>
      <c r="D134" s="9" t="s">
        <v>546</v>
      </c>
      <c r="E134" s="9" t="s">
        <v>242</v>
      </c>
      <c r="F134" s="9" t="s">
        <v>3</v>
      </c>
    </row>
    <row r="135" spans="1:17" x14ac:dyDescent="0.25">
      <c r="A135" s="9" t="s">
        <v>611</v>
      </c>
      <c r="B135" s="9" t="s">
        <v>616</v>
      </c>
      <c r="C135" s="9" t="s">
        <v>616</v>
      </c>
      <c r="D135" s="9" t="s">
        <v>612</v>
      </c>
      <c r="E135" s="9" t="s">
        <v>237</v>
      </c>
      <c r="F135" s="9" t="s">
        <v>3</v>
      </c>
    </row>
    <row r="136" spans="1:17" x14ac:dyDescent="0.25">
      <c r="A136" s="9" t="s">
        <v>628</v>
      </c>
      <c r="B136" s="9" t="s">
        <v>629</v>
      </c>
      <c r="C136" s="9" t="s">
        <v>629</v>
      </c>
      <c r="D136" s="9" t="s">
        <v>634</v>
      </c>
      <c r="E136" s="9" t="s">
        <v>239</v>
      </c>
      <c r="F136" s="9" t="s">
        <v>3</v>
      </c>
    </row>
    <row r="137" spans="1:17" x14ac:dyDescent="0.25">
      <c r="A137" s="9" t="s">
        <v>643</v>
      </c>
      <c r="B137" s="9" t="s">
        <v>645</v>
      </c>
      <c r="C137" s="9" t="s">
        <v>645</v>
      </c>
      <c r="D137" s="9" t="s">
        <v>644</v>
      </c>
      <c r="E137" s="9" t="s">
        <v>245</v>
      </c>
      <c r="F137" s="9" t="s">
        <v>3</v>
      </c>
    </row>
  </sheetData>
  <customSheetViews>
    <customSheetView guid="{A1637ED3-F38C-4E77-A8BB-011227AA9694}">
      <selection activeCell="E24" sqref="E24"/>
      <pageMargins left="0.7" right="0.7" top="0.75" bottom="0.75" header="0.3" footer="0.3"/>
    </customSheetView>
    <customSheetView guid="{B578103E-327A-4E76-AD33-0ADD9829657C}">
      <selection activeCell="A2" sqref="A2"/>
      <pageMargins left="0.7" right="0.7" top="0.75" bottom="0.75" header="0.3" footer="0.3"/>
    </customSheetView>
    <customSheetView guid="{D2E21015-49B6-4DCD-8903-2A33CC51A6BC}">
      <selection activeCell="B11" sqref="B11"/>
      <pageMargins left="0.7" right="0.7" top="0.75" bottom="0.75" header="0.3" footer="0.3"/>
    </customSheetView>
    <customSheetView guid="{EDF2F6B2-21F7-4895-9F69-CDF26867E73E}" topLeftCell="A4">
      <selection activeCell="D16" sqref="D16"/>
      <pageMargins left="0.7" right="0.7" top="0.75" bottom="0.75" header="0.3" footer="0.3"/>
    </customSheetView>
    <customSheetView guid="{D4E624F4-8690-493F-875F-508F53C873EF}">
      <selection activeCell="C17" sqref="C17"/>
      <pageMargins left="0.7" right="0.7" top="0.75" bottom="0.75" header="0.3" footer="0.3"/>
    </customSheetView>
    <customSheetView guid="{D0696375-DBB5-4809-BC60-44F8F56B2779}" topLeftCell="A166">
      <selection activeCell="D189" sqref="D189"/>
      <pageMargins left="0.7" right="0.7" top="0.75" bottom="0.75" header="0.3" footer="0.3"/>
    </customSheetView>
    <customSheetView guid="{C5352930-F296-4056-ADED-A54F12C72A5E}">
      <selection activeCell="H1" sqref="H1"/>
      <pageMargins left="0.7" right="0.7" top="0.75" bottom="0.75" header="0.3" footer="0.3"/>
    </customSheetView>
    <customSheetView guid="{7595FEC4-A35A-45A8-ABFF-30CA7F2E3DDB}">
      <selection activeCell="C6" sqref="C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Q154"/>
  <sheetViews>
    <sheetView zoomScaleNormal="100" workbookViewId="0">
      <selection activeCell="E9" sqref="E9"/>
    </sheetView>
  </sheetViews>
  <sheetFormatPr defaultColWidth="9.140625" defaultRowHeight="15" x14ac:dyDescent="0.25"/>
  <cols>
    <col min="1" max="6" width="22" style="8" customWidth="1"/>
    <col min="7" max="7" width="9.140625" style="8" customWidth="1"/>
    <col min="8" max="16384" width="9.140625" style="8"/>
  </cols>
  <sheetData>
    <row r="1" spans="1:17" x14ac:dyDescent="0.25">
      <c r="A1" s="43" t="s">
        <v>363</v>
      </c>
      <c r="B1" s="43" t="s">
        <v>522</v>
      </c>
      <c r="C1" s="43" t="s">
        <v>523</v>
      </c>
      <c r="D1" s="43" t="s">
        <v>364</v>
      </c>
      <c r="E1" s="43" t="s">
        <v>0</v>
      </c>
      <c r="F1" s="43" t="s">
        <v>524</v>
      </c>
      <c r="G1" s="43" t="s">
        <v>525</v>
      </c>
      <c r="H1" s="43" t="s">
        <v>526</v>
      </c>
      <c r="I1" s="43" t="s">
        <v>527</v>
      </c>
      <c r="J1" s="43" t="s">
        <v>528</v>
      </c>
      <c r="K1" s="43" t="s">
        <v>529</v>
      </c>
      <c r="L1" s="43" t="s">
        <v>530</v>
      </c>
      <c r="M1" s="43" t="s">
        <v>531</v>
      </c>
      <c r="N1" s="43" t="s">
        <v>532</v>
      </c>
      <c r="O1" s="43" t="s">
        <v>533</v>
      </c>
      <c r="P1" s="43" t="s">
        <v>534</v>
      </c>
      <c r="Q1" s="43" t="s">
        <v>535</v>
      </c>
    </row>
    <row r="2" spans="1:17" s="9" customFormat="1" x14ac:dyDescent="0.25">
      <c r="A2" s="9" t="s">
        <v>573</v>
      </c>
      <c r="B2" s="9" t="s">
        <v>574</v>
      </c>
      <c r="C2" s="9" t="s">
        <v>575</v>
      </c>
      <c r="D2" s="9" t="s">
        <v>576</v>
      </c>
      <c r="E2" s="9" t="s">
        <v>577</v>
      </c>
      <c r="F2" s="9" t="s">
        <v>3</v>
      </c>
      <c r="G2" s="9" t="s">
        <v>568</v>
      </c>
      <c r="H2" s="9" t="s">
        <v>578</v>
      </c>
      <c r="I2" s="9" t="s">
        <v>927</v>
      </c>
      <c r="J2" s="9" t="s">
        <v>928</v>
      </c>
      <c r="K2" s="9" t="s">
        <v>928</v>
      </c>
      <c r="L2" s="9" t="s">
        <v>570</v>
      </c>
      <c r="M2" s="9" t="s">
        <v>569</v>
      </c>
      <c r="N2" s="9" t="s">
        <v>569</v>
      </c>
      <c r="O2" s="9" t="s">
        <v>579</v>
      </c>
      <c r="P2" s="9" t="s">
        <v>580</v>
      </c>
      <c r="Q2" s="9" t="s">
        <v>572</v>
      </c>
    </row>
    <row r="3" spans="1:17" s="9" customFormat="1" x14ac:dyDescent="0.25">
      <c r="A3" s="9" t="s">
        <v>581</v>
      </c>
      <c r="B3" s="9" t="s">
        <v>582</v>
      </c>
      <c r="C3" s="9" t="s">
        <v>582</v>
      </c>
      <c r="D3" s="9" t="s">
        <v>583</v>
      </c>
      <c r="E3" s="9" t="s">
        <v>584</v>
      </c>
      <c r="F3" s="9" t="s">
        <v>3</v>
      </c>
      <c r="G3" s="9" t="s">
        <v>568</v>
      </c>
      <c r="H3" s="9" t="s">
        <v>585</v>
      </c>
      <c r="I3" s="9" t="s">
        <v>929</v>
      </c>
      <c r="J3" s="9" t="s">
        <v>928</v>
      </c>
      <c r="K3" s="9" t="s">
        <v>928</v>
      </c>
      <c r="L3" s="9" t="s">
        <v>570</v>
      </c>
      <c r="M3" s="9" t="s">
        <v>569</v>
      </c>
      <c r="N3" s="9" t="s">
        <v>569</v>
      </c>
      <c r="O3" s="9" t="s">
        <v>569</v>
      </c>
      <c r="P3" s="9" t="s">
        <v>580</v>
      </c>
      <c r="Q3" s="9" t="s">
        <v>572</v>
      </c>
    </row>
    <row r="4" spans="1:17" s="9" customFormat="1" x14ac:dyDescent="0.25">
      <c r="A4" s="9" t="s">
        <v>586</v>
      </c>
      <c r="B4" s="9" t="s">
        <v>587</v>
      </c>
      <c r="C4" s="9" t="s">
        <v>587</v>
      </c>
      <c r="D4" s="9" t="s">
        <v>588</v>
      </c>
      <c r="E4" s="9" t="s">
        <v>577</v>
      </c>
      <c r="F4" s="9" t="s">
        <v>3</v>
      </c>
      <c r="G4" s="9" t="s">
        <v>568</v>
      </c>
      <c r="H4" s="9" t="s">
        <v>589</v>
      </c>
      <c r="I4" s="9" t="s">
        <v>930</v>
      </c>
      <c r="J4" s="9" t="s">
        <v>928</v>
      </c>
      <c r="K4" s="9" t="s">
        <v>928</v>
      </c>
      <c r="L4" s="9" t="s">
        <v>570</v>
      </c>
      <c r="M4" s="9" t="s">
        <v>569</v>
      </c>
      <c r="N4" s="9" t="s">
        <v>569</v>
      </c>
      <c r="O4" s="9" t="s">
        <v>569</v>
      </c>
      <c r="P4" s="9" t="s">
        <v>580</v>
      </c>
      <c r="Q4" s="9" t="s">
        <v>572</v>
      </c>
    </row>
    <row r="5" spans="1:17" s="9" customFormat="1" x14ac:dyDescent="0.25">
      <c r="A5" s="9" t="s">
        <v>654</v>
      </c>
      <c r="B5" s="9" t="s">
        <v>270</v>
      </c>
      <c r="C5" s="9" t="s">
        <v>270</v>
      </c>
      <c r="D5" s="9" t="s">
        <v>655</v>
      </c>
      <c r="E5" s="9" t="s">
        <v>236</v>
      </c>
      <c r="F5" s="9" t="s">
        <v>3</v>
      </c>
      <c r="G5" s="9" t="s">
        <v>568</v>
      </c>
      <c r="H5" s="9" t="s">
        <v>640</v>
      </c>
      <c r="I5" s="9" t="s">
        <v>931</v>
      </c>
      <c r="J5" s="9" t="s">
        <v>928</v>
      </c>
      <c r="K5" s="9" t="s">
        <v>928</v>
      </c>
      <c r="L5" s="9" t="s">
        <v>307</v>
      </c>
      <c r="M5" s="9" t="s">
        <v>569</v>
      </c>
      <c r="N5" s="9" t="s">
        <v>569</v>
      </c>
      <c r="O5" s="9" t="s">
        <v>569</v>
      </c>
      <c r="P5" s="9" t="s">
        <v>580</v>
      </c>
      <c r="Q5" s="9" t="s">
        <v>572</v>
      </c>
    </row>
    <row r="6" spans="1:17" s="9" customFormat="1" x14ac:dyDescent="0.25">
      <c r="A6" s="9" t="s">
        <v>190</v>
      </c>
      <c r="B6" s="9" t="s">
        <v>195</v>
      </c>
      <c r="C6" s="9" t="s">
        <v>195</v>
      </c>
      <c r="D6" s="9" t="s">
        <v>189</v>
      </c>
      <c r="E6" s="9" t="s">
        <v>237</v>
      </c>
      <c r="F6" s="9" t="s">
        <v>3</v>
      </c>
      <c r="G6" s="9" t="s">
        <v>568</v>
      </c>
      <c r="H6" s="9" t="s">
        <v>928</v>
      </c>
      <c r="I6" s="9" t="s">
        <v>569</v>
      </c>
      <c r="J6" s="9" t="s">
        <v>569</v>
      </c>
      <c r="K6" s="9" t="s">
        <v>932</v>
      </c>
      <c r="L6" s="9" t="s">
        <v>570</v>
      </c>
      <c r="M6" s="9" t="s">
        <v>668</v>
      </c>
      <c r="N6" s="9" t="s">
        <v>801</v>
      </c>
      <c r="O6" s="9" t="s">
        <v>933</v>
      </c>
      <c r="P6" s="9" t="s">
        <v>571</v>
      </c>
      <c r="Q6" s="9" t="s">
        <v>572</v>
      </c>
    </row>
    <row r="7" spans="1:17" s="9" customFormat="1" x14ac:dyDescent="0.25">
      <c r="A7" s="9" t="s">
        <v>397</v>
      </c>
      <c r="B7" s="9" t="s">
        <v>398</v>
      </c>
      <c r="C7" s="9" t="s">
        <v>399</v>
      </c>
      <c r="D7" s="9" t="s">
        <v>400</v>
      </c>
      <c r="E7" s="9" t="s">
        <v>237</v>
      </c>
      <c r="F7" s="9" t="s">
        <v>3</v>
      </c>
      <c r="G7" s="9" t="s">
        <v>568</v>
      </c>
      <c r="H7" s="9" t="s">
        <v>928</v>
      </c>
      <c r="I7" s="9" t="s">
        <v>569</v>
      </c>
      <c r="J7" s="9" t="s">
        <v>569</v>
      </c>
      <c r="K7" s="9" t="s">
        <v>932</v>
      </c>
      <c r="L7" s="9" t="s">
        <v>570</v>
      </c>
      <c r="M7" s="9" t="s">
        <v>669</v>
      </c>
      <c r="N7" s="9" t="s">
        <v>802</v>
      </c>
      <c r="O7" s="9" t="s">
        <v>934</v>
      </c>
      <c r="P7" s="9" t="s">
        <v>571</v>
      </c>
      <c r="Q7" s="9" t="s">
        <v>572</v>
      </c>
    </row>
    <row r="8" spans="1:17" s="9" customFormat="1" x14ac:dyDescent="0.25">
      <c r="A8" s="9" t="s">
        <v>193</v>
      </c>
      <c r="B8" s="9" t="s">
        <v>412</v>
      </c>
      <c r="C8" s="9" t="s">
        <v>284</v>
      </c>
      <c r="D8" s="9" t="s">
        <v>413</v>
      </c>
      <c r="E8" s="9" t="s">
        <v>256</v>
      </c>
      <c r="F8" s="9" t="s">
        <v>3</v>
      </c>
      <c r="G8" s="9" t="s">
        <v>568</v>
      </c>
      <c r="H8" s="9" t="s">
        <v>928</v>
      </c>
      <c r="I8" s="9" t="s">
        <v>569</v>
      </c>
      <c r="J8" s="9" t="s">
        <v>569</v>
      </c>
      <c r="K8" s="9" t="s">
        <v>932</v>
      </c>
      <c r="L8" s="9" t="s">
        <v>570</v>
      </c>
      <c r="M8" s="9" t="s">
        <v>666</v>
      </c>
      <c r="N8" s="9" t="s">
        <v>800</v>
      </c>
      <c r="O8" s="9" t="s">
        <v>935</v>
      </c>
      <c r="P8" s="9" t="s">
        <v>571</v>
      </c>
      <c r="Q8" s="9" t="s">
        <v>572</v>
      </c>
    </row>
    <row r="9" spans="1:17" s="9" customFormat="1" x14ac:dyDescent="0.25">
      <c r="A9" s="9" t="s">
        <v>388</v>
      </c>
      <c r="B9" s="9" t="s">
        <v>389</v>
      </c>
      <c r="C9" s="9" t="s">
        <v>389</v>
      </c>
      <c r="D9" s="9" t="s">
        <v>390</v>
      </c>
      <c r="E9" s="9" t="s">
        <v>237</v>
      </c>
      <c r="F9" s="9" t="s">
        <v>3</v>
      </c>
      <c r="G9" s="9" t="s">
        <v>568</v>
      </c>
      <c r="H9" s="9" t="s">
        <v>928</v>
      </c>
      <c r="I9" s="9" t="s">
        <v>569</v>
      </c>
      <c r="J9" s="9" t="s">
        <v>569</v>
      </c>
      <c r="K9" s="9" t="s">
        <v>932</v>
      </c>
      <c r="L9" s="9" t="s">
        <v>570</v>
      </c>
      <c r="M9" s="9" t="s">
        <v>670</v>
      </c>
      <c r="N9" s="9" t="s">
        <v>807</v>
      </c>
      <c r="O9" s="9" t="s">
        <v>936</v>
      </c>
      <c r="P9" s="9" t="s">
        <v>571</v>
      </c>
      <c r="Q9" s="9" t="s">
        <v>572</v>
      </c>
    </row>
    <row r="10" spans="1:17" s="9" customFormat="1" x14ac:dyDescent="0.25">
      <c r="A10" s="9" t="s">
        <v>267</v>
      </c>
      <c r="B10" s="9" t="s">
        <v>268</v>
      </c>
      <c r="C10" s="9" t="s">
        <v>268</v>
      </c>
      <c r="D10" s="9" t="s">
        <v>334</v>
      </c>
      <c r="E10" s="9" t="s">
        <v>245</v>
      </c>
      <c r="F10" s="9" t="s">
        <v>3</v>
      </c>
      <c r="G10" s="9" t="s">
        <v>568</v>
      </c>
      <c r="H10" s="9" t="s">
        <v>928</v>
      </c>
      <c r="I10" s="9" t="s">
        <v>569</v>
      </c>
      <c r="J10" s="9" t="s">
        <v>569</v>
      </c>
      <c r="K10" s="9" t="s">
        <v>932</v>
      </c>
      <c r="L10" s="9" t="s">
        <v>570</v>
      </c>
      <c r="M10" s="9" t="s">
        <v>673</v>
      </c>
      <c r="N10" s="9" t="s">
        <v>803</v>
      </c>
      <c r="O10" s="9" t="s">
        <v>937</v>
      </c>
      <c r="P10" s="9" t="s">
        <v>571</v>
      </c>
      <c r="Q10" s="9" t="s">
        <v>572</v>
      </c>
    </row>
    <row r="11" spans="1:17" s="9" customFormat="1" x14ac:dyDescent="0.25">
      <c r="A11" s="9" t="s">
        <v>131</v>
      </c>
      <c r="B11" s="9" t="s">
        <v>238</v>
      </c>
      <c r="C11" s="9" t="s">
        <v>132</v>
      </c>
      <c r="D11" s="9" t="s">
        <v>214</v>
      </c>
      <c r="E11" s="9" t="s">
        <v>239</v>
      </c>
      <c r="F11" s="9" t="s">
        <v>3</v>
      </c>
      <c r="G11" s="9" t="s">
        <v>568</v>
      </c>
      <c r="H11" s="9" t="s">
        <v>928</v>
      </c>
      <c r="I11" s="9" t="s">
        <v>569</v>
      </c>
      <c r="J11" s="9" t="s">
        <v>569</v>
      </c>
      <c r="K11" s="9" t="s">
        <v>932</v>
      </c>
      <c r="L11" s="9" t="s">
        <v>570</v>
      </c>
      <c r="M11" s="9" t="s">
        <v>667</v>
      </c>
      <c r="N11" s="9" t="s">
        <v>804</v>
      </c>
      <c r="O11" s="9" t="s">
        <v>938</v>
      </c>
      <c r="P11" s="9" t="s">
        <v>571</v>
      </c>
      <c r="Q11" s="9" t="s">
        <v>572</v>
      </c>
    </row>
    <row r="12" spans="1:17" s="9" customFormat="1" x14ac:dyDescent="0.25">
      <c r="A12" s="9" t="s">
        <v>939</v>
      </c>
      <c r="B12" s="9" t="s">
        <v>415</v>
      </c>
      <c r="C12" s="9" t="s">
        <v>416</v>
      </c>
      <c r="D12" s="9" t="s">
        <v>940</v>
      </c>
      <c r="E12" s="9" t="s">
        <v>249</v>
      </c>
      <c r="F12" s="9" t="s">
        <v>3</v>
      </c>
      <c r="G12" s="9" t="s">
        <v>568</v>
      </c>
      <c r="H12" s="9" t="s">
        <v>928</v>
      </c>
      <c r="I12" s="9" t="s">
        <v>569</v>
      </c>
      <c r="J12" s="9" t="s">
        <v>569</v>
      </c>
      <c r="K12" s="9" t="s">
        <v>932</v>
      </c>
      <c r="L12" s="9" t="s">
        <v>570</v>
      </c>
      <c r="M12" s="9" t="s">
        <v>674</v>
      </c>
      <c r="N12" s="9" t="s">
        <v>805</v>
      </c>
      <c r="O12" s="9" t="s">
        <v>941</v>
      </c>
      <c r="P12" s="9" t="s">
        <v>571</v>
      </c>
      <c r="Q12" s="9" t="s">
        <v>572</v>
      </c>
    </row>
    <row r="13" spans="1:17" s="9" customFormat="1" x14ac:dyDescent="0.25">
      <c r="A13" s="9" t="s">
        <v>451</v>
      </c>
      <c r="B13" s="9" t="s">
        <v>452</v>
      </c>
      <c r="C13" s="9" t="s">
        <v>452</v>
      </c>
      <c r="D13" s="9" t="s">
        <v>453</v>
      </c>
      <c r="E13" s="9" t="s">
        <v>242</v>
      </c>
      <c r="F13" s="9" t="s">
        <v>3</v>
      </c>
      <c r="G13" s="9" t="s">
        <v>568</v>
      </c>
      <c r="H13" s="9" t="s">
        <v>928</v>
      </c>
      <c r="I13" s="9" t="s">
        <v>569</v>
      </c>
      <c r="J13" s="9" t="s">
        <v>569</v>
      </c>
      <c r="K13" s="9" t="s">
        <v>932</v>
      </c>
      <c r="L13" s="9" t="s">
        <v>570</v>
      </c>
      <c r="M13" s="9" t="s">
        <v>671</v>
      </c>
      <c r="N13" s="9" t="s">
        <v>808</v>
      </c>
      <c r="O13" s="9" t="s">
        <v>942</v>
      </c>
      <c r="P13" s="9" t="s">
        <v>571</v>
      </c>
      <c r="Q13" s="9" t="s">
        <v>572</v>
      </c>
    </row>
    <row r="14" spans="1:17" s="9" customFormat="1" x14ac:dyDescent="0.25">
      <c r="A14" s="9" t="s">
        <v>133</v>
      </c>
      <c r="B14" s="9" t="s">
        <v>134</v>
      </c>
      <c r="C14" s="9" t="s">
        <v>134</v>
      </c>
      <c r="D14" s="9" t="s">
        <v>212</v>
      </c>
      <c r="E14" s="9" t="s">
        <v>241</v>
      </c>
      <c r="F14" s="9" t="s">
        <v>3</v>
      </c>
      <c r="G14" s="9" t="s">
        <v>590</v>
      </c>
      <c r="H14" s="9" t="s">
        <v>928</v>
      </c>
      <c r="I14" s="9" t="s">
        <v>569</v>
      </c>
      <c r="J14" s="9" t="s">
        <v>569</v>
      </c>
      <c r="K14" s="9" t="s">
        <v>932</v>
      </c>
      <c r="L14" s="9" t="s">
        <v>570</v>
      </c>
      <c r="M14" s="9" t="s">
        <v>677</v>
      </c>
      <c r="N14" s="9" t="s">
        <v>811</v>
      </c>
      <c r="O14" s="9" t="s">
        <v>943</v>
      </c>
      <c r="P14" s="9" t="s">
        <v>571</v>
      </c>
      <c r="Q14" s="9" t="s">
        <v>572</v>
      </c>
    </row>
    <row r="15" spans="1:17" s="9" customFormat="1" x14ac:dyDescent="0.25">
      <c r="A15" s="9" t="s">
        <v>125</v>
      </c>
      <c r="B15" s="9" t="s">
        <v>126</v>
      </c>
      <c r="C15" s="9" t="s">
        <v>126</v>
      </c>
      <c r="D15" s="9" t="s">
        <v>124</v>
      </c>
      <c r="E15" s="9" t="s">
        <v>242</v>
      </c>
      <c r="F15" s="9" t="s">
        <v>3</v>
      </c>
      <c r="G15" s="9" t="s">
        <v>568</v>
      </c>
      <c r="H15" s="9" t="s">
        <v>928</v>
      </c>
      <c r="I15" s="9" t="s">
        <v>569</v>
      </c>
      <c r="J15" s="9" t="s">
        <v>569</v>
      </c>
      <c r="K15" s="9" t="s">
        <v>932</v>
      </c>
      <c r="L15" s="9" t="s">
        <v>570</v>
      </c>
      <c r="M15" s="9" t="s">
        <v>675</v>
      </c>
      <c r="N15" s="9" t="s">
        <v>809</v>
      </c>
      <c r="O15" s="9" t="s">
        <v>944</v>
      </c>
      <c r="P15" s="9" t="s">
        <v>571</v>
      </c>
      <c r="Q15" s="9" t="s">
        <v>572</v>
      </c>
    </row>
    <row r="16" spans="1:17" s="9" customFormat="1" x14ac:dyDescent="0.25">
      <c r="A16" s="9" t="s">
        <v>135</v>
      </c>
      <c r="B16" s="9" t="s">
        <v>136</v>
      </c>
      <c r="C16" s="9" t="s">
        <v>136</v>
      </c>
      <c r="D16" s="9" t="s">
        <v>213</v>
      </c>
      <c r="E16" s="9" t="s">
        <v>236</v>
      </c>
      <c r="F16" s="9" t="s">
        <v>3</v>
      </c>
      <c r="G16" s="9" t="s">
        <v>568</v>
      </c>
      <c r="H16" s="9" t="s">
        <v>928</v>
      </c>
      <c r="I16" s="9" t="s">
        <v>569</v>
      </c>
      <c r="J16" s="9" t="s">
        <v>569</v>
      </c>
      <c r="K16" s="9" t="s">
        <v>932</v>
      </c>
      <c r="L16" s="9" t="s">
        <v>570</v>
      </c>
      <c r="M16" s="9" t="s">
        <v>636</v>
      </c>
      <c r="N16" s="9" t="s">
        <v>672</v>
      </c>
      <c r="O16" s="9" t="s">
        <v>812</v>
      </c>
      <c r="P16" s="9" t="s">
        <v>571</v>
      </c>
      <c r="Q16" s="9" t="s">
        <v>572</v>
      </c>
    </row>
    <row r="17" spans="1:17" s="9" customFormat="1" x14ac:dyDescent="0.25">
      <c r="A17" s="9" t="s">
        <v>302</v>
      </c>
      <c r="B17" s="9" t="s">
        <v>303</v>
      </c>
      <c r="C17" s="9" t="s">
        <v>304</v>
      </c>
      <c r="D17" s="9" t="s">
        <v>305</v>
      </c>
      <c r="E17" s="9" t="s">
        <v>242</v>
      </c>
      <c r="F17" s="9" t="s">
        <v>3</v>
      </c>
      <c r="G17" s="9" t="s">
        <v>568</v>
      </c>
      <c r="H17" s="9" t="s">
        <v>928</v>
      </c>
      <c r="I17" s="9" t="s">
        <v>569</v>
      </c>
      <c r="J17" s="9" t="s">
        <v>569</v>
      </c>
      <c r="K17" s="9" t="s">
        <v>932</v>
      </c>
      <c r="L17" s="9" t="s">
        <v>570</v>
      </c>
      <c r="M17" s="9" t="s">
        <v>600</v>
      </c>
      <c r="N17" s="9" t="s">
        <v>601</v>
      </c>
      <c r="O17" s="9" t="s">
        <v>621</v>
      </c>
      <c r="P17" s="9" t="s">
        <v>571</v>
      </c>
      <c r="Q17" s="9" t="s">
        <v>572</v>
      </c>
    </row>
    <row r="18" spans="1:17" s="9" customFormat="1" x14ac:dyDescent="0.25">
      <c r="A18" s="9" t="s">
        <v>306</v>
      </c>
      <c r="B18" s="9" t="s">
        <v>314</v>
      </c>
      <c r="C18" s="9" t="s">
        <v>315</v>
      </c>
      <c r="D18" s="9" t="s">
        <v>316</v>
      </c>
      <c r="E18" s="9" t="s">
        <v>237</v>
      </c>
      <c r="F18" s="9" t="s">
        <v>3</v>
      </c>
      <c r="G18" s="9" t="s">
        <v>568</v>
      </c>
      <c r="H18" s="9" t="s">
        <v>928</v>
      </c>
      <c r="I18" s="9" t="s">
        <v>569</v>
      </c>
      <c r="J18" s="9" t="s">
        <v>569</v>
      </c>
      <c r="K18" s="9" t="s">
        <v>932</v>
      </c>
      <c r="L18" s="9" t="s">
        <v>570</v>
      </c>
      <c r="M18" s="9" t="s">
        <v>676</v>
      </c>
      <c r="N18" s="9" t="s">
        <v>810</v>
      </c>
      <c r="O18" s="9" t="s">
        <v>945</v>
      </c>
      <c r="P18" s="9" t="s">
        <v>571</v>
      </c>
      <c r="Q18" s="9" t="s">
        <v>572</v>
      </c>
    </row>
    <row r="19" spans="1:17" s="9" customFormat="1" x14ac:dyDescent="0.25">
      <c r="A19" s="9" t="s">
        <v>377</v>
      </c>
      <c r="B19" s="9" t="s">
        <v>378</v>
      </c>
      <c r="C19" s="9" t="s">
        <v>378</v>
      </c>
      <c r="D19" s="9" t="s">
        <v>379</v>
      </c>
      <c r="E19" s="9" t="s">
        <v>246</v>
      </c>
      <c r="F19" s="9" t="s">
        <v>3</v>
      </c>
      <c r="G19" s="9" t="s">
        <v>568</v>
      </c>
      <c r="H19" s="9" t="s">
        <v>928</v>
      </c>
      <c r="I19" s="9" t="s">
        <v>569</v>
      </c>
      <c r="J19" s="9" t="s">
        <v>569</v>
      </c>
      <c r="K19" s="9" t="s">
        <v>932</v>
      </c>
      <c r="L19" s="9" t="s">
        <v>570</v>
      </c>
      <c r="M19" s="9" t="s">
        <v>663</v>
      </c>
      <c r="N19" s="9" t="s">
        <v>806</v>
      </c>
      <c r="O19" s="9" t="s">
        <v>946</v>
      </c>
      <c r="P19" s="9" t="s">
        <v>571</v>
      </c>
      <c r="Q19" s="9" t="s">
        <v>572</v>
      </c>
    </row>
    <row r="20" spans="1:17" s="9" customFormat="1" x14ac:dyDescent="0.25">
      <c r="A20" s="9" t="s">
        <v>196</v>
      </c>
      <c r="B20" s="9" t="s">
        <v>197</v>
      </c>
      <c r="C20" s="9" t="s">
        <v>197</v>
      </c>
      <c r="D20" s="9" t="s">
        <v>31</v>
      </c>
      <c r="E20" s="9" t="s">
        <v>243</v>
      </c>
      <c r="F20" s="9" t="s">
        <v>3</v>
      </c>
      <c r="G20" s="9" t="s">
        <v>568</v>
      </c>
      <c r="H20" s="9" t="s">
        <v>928</v>
      </c>
      <c r="I20" s="9" t="s">
        <v>569</v>
      </c>
      <c r="J20" s="9" t="s">
        <v>569</v>
      </c>
      <c r="K20" s="9" t="s">
        <v>932</v>
      </c>
      <c r="L20" s="9" t="s">
        <v>117</v>
      </c>
      <c r="M20" s="9" t="s">
        <v>684</v>
      </c>
      <c r="N20" s="9" t="s">
        <v>830</v>
      </c>
      <c r="O20" s="9" t="s">
        <v>947</v>
      </c>
      <c r="P20" s="9" t="s">
        <v>580</v>
      </c>
      <c r="Q20" s="9" t="s">
        <v>572</v>
      </c>
    </row>
    <row r="21" spans="1:17" s="9" customFormat="1" x14ac:dyDescent="0.25">
      <c r="A21" s="9" t="s">
        <v>355</v>
      </c>
      <c r="B21" s="9" t="s">
        <v>297</v>
      </c>
      <c r="C21" s="9" t="s">
        <v>297</v>
      </c>
      <c r="D21" s="9" t="s">
        <v>356</v>
      </c>
      <c r="E21" s="9" t="s">
        <v>240</v>
      </c>
      <c r="F21" s="9" t="s">
        <v>3</v>
      </c>
      <c r="G21" s="9" t="s">
        <v>568</v>
      </c>
      <c r="H21" s="9" t="s">
        <v>928</v>
      </c>
      <c r="I21" s="9" t="s">
        <v>569</v>
      </c>
      <c r="J21" s="9" t="s">
        <v>569</v>
      </c>
      <c r="K21" s="9" t="s">
        <v>932</v>
      </c>
      <c r="L21" s="9" t="s">
        <v>117</v>
      </c>
      <c r="M21" s="9" t="s">
        <v>696</v>
      </c>
      <c r="N21" s="9" t="s">
        <v>852</v>
      </c>
      <c r="O21" s="9" t="s">
        <v>948</v>
      </c>
      <c r="P21" s="9" t="s">
        <v>571</v>
      </c>
      <c r="Q21" s="9" t="s">
        <v>572</v>
      </c>
    </row>
    <row r="22" spans="1:17" s="9" customFormat="1" x14ac:dyDescent="0.25">
      <c r="A22" s="9" t="s">
        <v>309</v>
      </c>
      <c r="B22" s="9" t="s">
        <v>310</v>
      </c>
      <c r="C22" s="9" t="s">
        <v>311</v>
      </c>
      <c r="D22" s="9" t="s">
        <v>312</v>
      </c>
      <c r="E22" s="9" t="s">
        <v>237</v>
      </c>
      <c r="F22" s="9" t="s">
        <v>3</v>
      </c>
      <c r="G22" s="9" t="s">
        <v>590</v>
      </c>
      <c r="H22" s="9" t="s">
        <v>928</v>
      </c>
      <c r="I22" s="9" t="s">
        <v>569</v>
      </c>
      <c r="J22" s="9" t="s">
        <v>569</v>
      </c>
      <c r="K22" s="9" t="s">
        <v>932</v>
      </c>
      <c r="L22" s="9" t="s">
        <v>117</v>
      </c>
      <c r="M22" s="9" t="s">
        <v>681</v>
      </c>
      <c r="N22" s="9" t="s">
        <v>829</v>
      </c>
      <c r="O22" s="9" t="s">
        <v>949</v>
      </c>
      <c r="P22" s="9" t="s">
        <v>571</v>
      </c>
      <c r="Q22" s="9" t="s">
        <v>572</v>
      </c>
    </row>
    <row r="23" spans="1:17" s="9" customFormat="1" x14ac:dyDescent="0.25">
      <c r="A23" s="9" t="s">
        <v>285</v>
      </c>
      <c r="B23" s="9" t="s">
        <v>286</v>
      </c>
      <c r="C23" s="9" t="s">
        <v>286</v>
      </c>
      <c r="D23" s="9" t="s">
        <v>287</v>
      </c>
      <c r="E23" s="9" t="s">
        <v>242</v>
      </c>
      <c r="F23" s="9" t="s">
        <v>3</v>
      </c>
      <c r="G23" s="9" t="s">
        <v>568</v>
      </c>
      <c r="H23" s="9" t="s">
        <v>928</v>
      </c>
      <c r="I23" s="9" t="s">
        <v>569</v>
      </c>
      <c r="J23" s="9" t="s">
        <v>569</v>
      </c>
      <c r="K23" s="9" t="s">
        <v>932</v>
      </c>
      <c r="L23" s="9" t="s">
        <v>117</v>
      </c>
      <c r="M23" s="9" t="s">
        <v>950</v>
      </c>
      <c r="N23" s="9" t="s">
        <v>951</v>
      </c>
      <c r="O23" s="9" t="s">
        <v>952</v>
      </c>
      <c r="P23" s="9" t="s">
        <v>571</v>
      </c>
      <c r="Q23" s="9" t="s">
        <v>572</v>
      </c>
    </row>
    <row r="24" spans="1:17" s="9" customFormat="1" x14ac:dyDescent="0.25">
      <c r="A24" s="9" t="s">
        <v>369</v>
      </c>
      <c r="B24" s="9" t="s">
        <v>370</v>
      </c>
      <c r="C24" s="9" t="s">
        <v>370</v>
      </c>
      <c r="D24" s="9" t="s">
        <v>371</v>
      </c>
      <c r="E24" s="9" t="s">
        <v>245</v>
      </c>
      <c r="F24" s="9" t="s">
        <v>3</v>
      </c>
      <c r="G24" s="9" t="s">
        <v>568</v>
      </c>
      <c r="H24" s="9" t="s">
        <v>928</v>
      </c>
      <c r="I24" s="9" t="s">
        <v>569</v>
      </c>
      <c r="J24" s="9" t="s">
        <v>569</v>
      </c>
      <c r="K24" s="9" t="s">
        <v>932</v>
      </c>
      <c r="L24" s="9" t="s">
        <v>117</v>
      </c>
      <c r="M24" s="9" t="s">
        <v>751</v>
      </c>
      <c r="N24" s="9" t="s">
        <v>820</v>
      </c>
      <c r="O24" s="9" t="s">
        <v>953</v>
      </c>
      <c r="P24" s="9" t="s">
        <v>580</v>
      </c>
      <c r="Q24" s="9" t="s">
        <v>572</v>
      </c>
    </row>
    <row r="25" spans="1:17" s="9" customFormat="1" x14ac:dyDescent="0.25">
      <c r="A25" s="9" t="s">
        <v>350</v>
      </c>
      <c r="B25" s="9" t="s">
        <v>351</v>
      </c>
      <c r="C25" s="9" t="s">
        <v>351</v>
      </c>
      <c r="D25" s="9" t="s">
        <v>352</v>
      </c>
      <c r="E25" s="9" t="s">
        <v>258</v>
      </c>
      <c r="F25" s="9" t="s">
        <v>3</v>
      </c>
      <c r="G25" s="9" t="s">
        <v>568</v>
      </c>
      <c r="H25" s="9" t="s">
        <v>928</v>
      </c>
      <c r="I25" s="9" t="s">
        <v>569</v>
      </c>
      <c r="J25" s="9" t="s">
        <v>569</v>
      </c>
      <c r="K25" s="9" t="s">
        <v>932</v>
      </c>
      <c r="L25" s="9" t="s">
        <v>117</v>
      </c>
      <c r="M25" s="9" t="s">
        <v>691</v>
      </c>
      <c r="N25" s="9" t="s">
        <v>851</v>
      </c>
      <c r="O25" s="9" t="s">
        <v>954</v>
      </c>
      <c r="P25" s="9" t="s">
        <v>571</v>
      </c>
      <c r="Q25" s="9" t="s">
        <v>572</v>
      </c>
    </row>
    <row r="26" spans="1:17" s="9" customFormat="1" x14ac:dyDescent="0.25">
      <c r="A26" s="9" t="s">
        <v>168</v>
      </c>
      <c r="B26" s="9" t="s">
        <v>16</v>
      </c>
      <c r="C26" s="9" t="s">
        <v>16</v>
      </c>
      <c r="D26" s="9" t="s">
        <v>15</v>
      </c>
      <c r="E26" s="9" t="s">
        <v>236</v>
      </c>
      <c r="F26" s="9" t="s">
        <v>3</v>
      </c>
      <c r="G26" s="9" t="s">
        <v>590</v>
      </c>
      <c r="H26" s="9" t="s">
        <v>928</v>
      </c>
      <c r="I26" s="9" t="s">
        <v>569</v>
      </c>
      <c r="J26" s="9" t="s">
        <v>569</v>
      </c>
      <c r="K26" s="9" t="s">
        <v>932</v>
      </c>
      <c r="L26" s="9" t="s">
        <v>117</v>
      </c>
      <c r="M26" s="9" t="s">
        <v>707</v>
      </c>
      <c r="N26" s="9" t="s">
        <v>819</v>
      </c>
      <c r="O26" s="9" t="s">
        <v>955</v>
      </c>
      <c r="P26" s="9" t="s">
        <v>571</v>
      </c>
      <c r="Q26" s="9" t="s">
        <v>572</v>
      </c>
    </row>
    <row r="27" spans="1:17" s="9" customFormat="1" x14ac:dyDescent="0.25">
      <c r="A27" s="9" t="s">
        <v>47</v>
      </c>
      <c r="B27" s="9" t="s">
        <v>48</v>
      </c>
      <c r="C27" s="9" t="s">
        <v>48</v>
      </c>
      <c r="D27" s="9" t="s">
        <v>410</v>
      </c>
      <c r="E27" s="9" t="s">
        <v>240</v>
      </c>
      <c r="F27" s="9" t="s">
        <v>3</v>
      </c>
      <c r="G27" s="9" t="s">
        <v>590</v>
      </c>
      <c r="H27" s="9" t="s">
        <v>928</v>
      </c>
      <c r="I27" s="9" t="s">
        <v>569</v>
      </c>
      <c r="J27" s="9" t="s">
        <v>569</v>
      </c>
      <c r="K27" s="9" t="s">
        <v>932</v>
      </c>
      <c r="L27" s="9" t="s">
        <v>117</v>
      </c>
      <c r="M27" s="9" t="s">
        <v>685</v>
      </c>
      <c r="N27" s="9" t="s">
        <v>821</v>
      </c>
      <c r="O27" s="9" t="s">
        <v>956</v>
      </c>
      <c r="P27" s="9" t="s">
        <v>571</v>
      </c>
      <c r="Q27" s="9" t="s">
        <v>572</v>
      </c>
    </row>
    <row r="28" spans="1:17" s="9" customFormat="1" x14ac:dyDescent="0.25">
      <c r="A28" s="9" t="s">
        <v>269</v>
      </c>
      <c r="B28" s="9" t="s">
        <v>270</v>
      </c>
      <c r="C28" s="9" t="s">
        <v>270</v>
      </c>
      <c r="D28" s="9" t="s">
        <v>271</v>
      </c>
      <c r="E28" s="9" t="s">
        <v>236</v>
      </c>
      <c r="F28" s="9" t="s">
        <v>3</v>
      </c>
      <c r="G28" s="9" t="s">
        <v>568</v>
      </c>
      <c r="H28" s="9" t="s">
        <v>928</v>
      </c>
      <c r="I28" s="9" t="s">
        <v>569</v>
      </c>
      <c r="J28" s="9" t="s">
        <v>569</v>
      </c>
      <c r="K28" s="9" t="s">
        <v>932</v>
      </c>
      <c r="L28" s="9" t="s">
        <v>117</v>
      </c>
      <c r="M28" s="9" t="s">
        <v>679</v>
      </c>
      <c r="N28" s="9" t="s">
        <v>815</v>
      </c>
      <c r="O28" s="9" t="s">
        <v>957</v>
      </c>
      <c r="P28" s="9" t="s">
        <v>571</v>
      </c>
      <c r="Q28" s="9" t="s">
        <v>572</v>
      </c>
    </row>
    <row r="29" spans="1:17" s="9" customFormat="1" x14ac:dyDescent="0.25">
      <c r="A29" s="9" t="s">
        <v>391</v>
      </c>
      <c r="B29" s="9" t="s">
        <v>392</v>
      </c>
      <c r="C29" s="9" t="s">
        <v>392</v>
      </c>
      <c r="D29" s="9" t="s">
        <v>393</v>
      </c>
      <c r="E29" s="9" t="s">
        <v>236</v>
      </c>
      <c r="F29" s="9" t="s">
        <v>3</v>
      </c>
      <c r="G29" s="9" t="s">
        <v>568</v>
      </c>
      <c r="H29" s="9" t="s">
        <v>928</v>
      </c>
      <c r="I29" s="9" t="s">
        <v>569</v>
      </c>
      <c r="J29" s="9" t="s">
        <v>569</v>
      </c>
      <c r="K29" s="9" t="s">
        <v>932</v>
      </c>
      <c r="L29" s="9" t="s">
        <v>117</v>
      </c>
      <c r="M29" s="9" t="s">
        <v>695</v>
      </c>
      <c r="N29" s="9" t="s">
        <v>818</v>
      </c>
      <c r="O29" s="9" t="s">
        <v>958</v>
      </c>
      <c r="P29" s="9" t="s">
        <v>571</v>
      </c>
      <c r="Q29" s="9" t="s">
        <v>572</v>
      </c>
    </row>
    <row r="30" spans="1:17" s="9" customFormat="1" x14ac:dyDescent="0.25">
      <c r="A30" s="9" t="s">
        <v>322</v>
      </c>
      <c r="B30" s="9" t="s">
        <v>323</v>
      </c>
      <c r="C30" s="9" t="s">
        <v>324</v>
      </c>
      <c r="D30" s="9" t="s">
        <v>325</v>
      </c>
      <c r="E30" s="9" t="s">
        <v>248</v>
      </c>
      <c r="F30" s="9" t="s">
        <v>3</v>
      </c>
      <c r="G30" s="9" t="s">
        <v>590</v>
      </c>
      <c r="H30" s="9" t="s">
        <v>928</v>
      </c>
      <c r="I30" s="9" t="s">
        <v>569</v>
      </c>
      <c r="J30" s="9" t="s">
        <v>569</v>
      </c>
      <c r="K30" s="9" t="s">
        <v>932</v>
      </c>
      <c r="L30" s="9" t="s">
        <v>117</v>
      </c>
      <c r="M30" s="9" t="s">
        <v>680</v>
      </c>
      <c r="N30" s="9" t="s">
        <v>822</v>
      </c>
      <c r="O30" s="9" t="s">
        <v>959</v>
      </c>
      <c r="P30" s="9" t="s">
        <v>571</v>
      </c>
      <c r="Q30" s="9" t="s">
        <v>572</v>
      </c>
    </row>
    <row r="31" spans="1:17" s="9" customFormat="1" x14ac:dyDescent="0.25">
      <c r="A31" s="9" t="s">
        <v>156</v>
      </c>
      <c r="B31" s="9" t="s">
        <v>14</v>
      </c>
      <c r="C31" s="9" t="s">
        <v>14</v>
      </c>
      <c r="D31" s="9" t="s">
        <v>13</v>
      </c>
      <c r="E31" s="9" t="s">
        <v>237</v>
      </c>
      <c r="F31" s="9" t="s">
        <v>3</v>
      </c>
      <c r="G31" s="9" t="s">
        <v>590</v>
      </c>
      <c r="H31" s="9" t="s">
        <v>928</v>
      </c>
      <c r="I31" s="9" t="s">
        <v>569</v>
      </c>
      <c r="J31" s="9" t="s">
        <v>569</v>
      </c>
      <c r="K31" s="9" t="s">
        <v>932</v>
      </c>
      <c r="L31" s="9" t="s">
        <v>117</v>
      </c>
      <c r="M31" s="9" t="s">
        <v>678</v>
      </c>
      <c r="N31" s="9" t="s">
        <v>843</v>
      </c>
      <c r="O31" s="9" t="s">
        <v>960</v>
      </c>
      <c r="P31" s="9" t="s">
        <v>571</v>
      </c>
      <c r="Q31" s="9" t="s">
        <v>572</v>
      </c>
    </row>
    <row r="32" spans="1:17" s="9" customFormat="1" x14ac:dyDescent="0.25">
      <c r="A32" s="9" t="s">
        <v>8</v>
      </c>
      <c r="B32" s="9" t="s">
        <v>9</v>
      </c>
      <c r="C32" s="9" t="s">
        <v>9</v>
      </c>
      <c r="D32" s="9" t="s">
        <v>7</v>
      </c>
      <c r="E32" s="9" t="s">
        <v>243</v>
      </c>
      <c r="F32" s="9" t="s">
        <v>3</v>
      </c>
      <c r="G32" s="9" t="s">
        <v>568</v>
      </c>
      <c r="H32" s="9" t="s">
        <v>928</v>
      </c>
      <c r="I32" s="9" t="s">
        <v>569</v>
      </c>
      <c r="J32" s="9" t="s">
        <v>569</v>
      </c>
      <c r="K32" s="9" t="s">
        <v>932</v>
      </c>
      <c r="L32" s="9" t="s">
        <v>117</v>
      </c>
      <c r="M32" s="9" t="s">
        <v>716</v>
      </c>
      <c r="N32" s="9" t="s">
        <v>866</v>
      </c>
      <c r="O32" s="9" t="s">
        <v>961</v>
      </c>
      <c r="P32" s="9" t="s">
        <v>580</v>
      </c>
      <c r="Q32" s="9" t="s">
        <v>572</v>
      </c>
    </row>
    <row r="33" spans="1:17" s="9" customFormat="1" x14ac:dyDescent="0.25">
      <c r="A33" s="9" t="s">
        <v>493</v>
      </c>
      <c r="B33" s="9" t="s">
        <v>494</v>
      </c>
      <c r="C33" s="9" t="s">
        <v>495</v>
      </c>
      <c r="D33" s="9" t="s">
        <v>496</v>
      </c>
      <c r="E33" s="9" t="s">
        <v>239</v>
      </c>
      <c r="F33" s="9" t="s">
        <v>3</v>
      </c>
      <c r="G33" s="9" t="s">
        <v>568</v>
      </c>
      <c r="H33" s="9" t="s">
        <v>928</v>
      </c>
      <c r="I33" s="9" t="s">
        <v>569</v>
      </c>
      <c r="J33" s="9" t="s">
        <v>569</v>
      </c>
      <c r="K33" s="9" t="s">
        <v>932</v>
      </c>
      <c r="L33" s="9" t="s">
        <v>117</v>
      </c>
      <c r="M33" s="9" t="s">
        <v>665</v>
      </c>
      <c r="N33" s="9" t="s">
        <v>831</v>
      </c>
      <c r="O33" s="9" t="s">
        <v>962</v>
      </c>
      <c r="P33" s="9" t="s">
        <v>580</v>
      </c>
      <c r="Q33" s="9" t="s">
        <v>572</v>
      </c>
    </row>
    <row r="34" spans="1:17" s="9" customFormat="1" x14ac:dyDescent="0.25">
      <c r="A34" s="9" t="s">
        <v>402</v>
      </c>
      <c r="B34" s="9" t="s">
        <v>403</v>
      </c>
      <c r="C34" s="9" t="s">
        <v>404</v>
      </c>
      <c r="D34" s="9" t="s">
        <v>405</v>
      </c>
      <c r="E34" s="9" t="s">
        <v>248</v>
      </c>
      <c r="F34" s="9" t="s">
        <v>3</v>
      </c>
      <c r="G34" s="9" t="s">
        <v>568</v>
      </c>
      <c r="H34" s="9" t="s">
        <v>928</v>
      </c>
      <c r="I34" s="9" t="s">
        <v>569</v>
      </c>
      <c r="J34" s="9" t="s">
        <v>569</v>
      </c>
      <c r="K34" s="9" t="s">
        <v>932</v>
      </c>
      <c r="L34" s="9" t="s">
        <v>117</v>
      </c>
      <c r="M34" s="9" t="s">
        <v>734</v>
      </c>
      <c r="N34" s="9" t="s">
        <v>816</v>
      </c>
      <c r="O34" s="9" t="s">
        <v>963</v>
      </c>
      <c r="P34" s="9" t="s">
        <v>580</v>
      </c>
      <c r="Q34" s="9" t="s">
        <v>572</v>
      </c>
    </row>
    <row r="35" spans="1:17" s="9" customFormat="1" x14ac:dyDescent="0.25">
      <c r="A35" s="9" t="s">
        <v>62</v>
      </c>
      <c r="B35" s="9" t="s">
        <v>63</v>
      </c>
      <c r="C35" s="9" t="s">
        <v>63</v>
      </c>
      <c r="D35" s="9" t="s">
        <v>229</v>
      </c>
      <c r="E35" s="9" t="s">
        <v>246</v>
      </c>
      <c r="F35" s="9" t="s">
        <v>3</v>
      </c>
      <c r="G35" s="9" t="s">
        <v>568</v>
      </c>
      <c r="H35" s="9" t="s">
        <v>928</v>
      </c>
      <c r="I35" s="9" t="s">
        <v>569</v>
      </c>
      <c r="J35" s="9" t="s">
        <v>569</v>
      </c>
      <c r="K35" s="9" t="s">
        <v>932</v>
      </c>
      <c r="L35" s="9" t="s">
        <v>117</v>
      </c>
      <c r="M35" s="9" t="s">
        <v>724</v>
      </c>
      <c r="N35" s="9" t="s">
        <v>884</v>
      </c>
      <c r="O35" s="9" t="s">
        <v>964</v>
      </c>
      <c r="P35" s="9" t="s">
        <v>571</v>
      </c>
      <c r="Q35" s="9" t="s">
        <v>572</v>
      </c>
    </row>
    <row r="36" spans="1:17" s="9" customFormat="1" x14ac:dyDescent="0.25">
      <c r="A36" s="9" t="s">
        <v>89</v>
      </c>
      <c r="B36" s="9" t="s">
        <v>254</v>
      </c>
      <c r="C36" s="9" t="s">
        <v>155</v>
      </c>
      <c r="D36" s="9" t="s">
        <v>88</v>
      </c>
      <c r="E36" s="9" t="s">
        <v>246</v>
      </c>
      <c r="F36" s="9" t="s">
        <v>3</v>
      </c>
      <c r="G36" s="9" t="s">
        <v>590</v>
      </c>
      <c r="H36" s="9" t="s">
        <v>928</v>
      </c>
      <c r="I36" s="9" t="s">
        <v>569</v>
      </c>
      <c r="J36" s="9" t="s">
        <v>569</v>
      </c>
      <c r="K36" s="9" t="s">
        <v>932</v>
      </c>
      <c r="L36" s="9" t="s">
        <v>117</v>
      </c>
      <c r="M36" s="9" t="s">
        <v>732</v>
      </c>
      <c r="N36" s="9" t="s">
        <v>864</v>
      </c>
      <c r="O36" s="9" t="s">
        <v>965</v>
      </c>
      <c r="P36" s="9" t="s">
        <v>571</v>
      </c>
      <c r="Q36" s="9" t="s">
        <v>572</v>
      </c>
    </row>
    <row r="37" spans="1:17" s="9" customFormat="1" x14ac:dyDescent="0.25">
      <c r="A37" s="9" t="s">
        <v>93</v>
      </c>
      <c r="B37" s="9" t="s">
        <v>94</v>
      </c>
      <c r="C37" s="9" t="s">
        <v>94</v>
      </c>
      <c r="D37" s="9" t="s">
        <v>92</v>
      </c>
      <c r="E37" s="9" t="s">
        <v>246</v>
      </c>
      <c r="F37" s="9" t="s">
        <v>3</v>
      </c>
      <c r="G37" s="9" t="s">
        <v>590</v>
      </c>
      <c r="H37" s="9" t="s">
        <v>928</v>
      </c>
      <c r="I37" s="9" t="s">
        <v>569</v>
      </c>
      <c r="J37" s="9" t="s">
        <v>569</v>
      </c>
      <c r="K37" s="9" t="s">
        <v>932</v>
      </c>
      <c r="L37" s="9" t="s">
        <v>117</v>
      </c>
      <c r="M37" s="9" t="s">
        <v>698</v>
      </c>
      <c r="N37" s="9" t="s">
        <v>844</v>
      </c>
      <c r="O37" s="9" t="s">
        <v>966</v>
      </c>
      <c r="P37" s="9" t="s">
        <v>571</v>
      </c>
      <c r="Q37" s="9" t="s">
        <v>572</v>
      </c>
    </row>
    <row r="38" spans="1:17" s="9" customFormat="1" x14ac:dyDescent="0.25">
      <c r="A38" s="9" t="s">
        <v>83</v>
      </c>
      <c r="B38" s="9" t="s">
        <v>206</v>
      </c>
      <c r="C38" s="9" t="s">
        <v>207</v>
      </c>
      <c r="D38" s="9" t="s">
        <v>208</v>
      </c>
      <c r="E38" s="9" t="s">
        <v>245</v>
      </c>
      <c r="F38" s="9" t="s">
        <v>3</v>
      </c>
      <c r="G38" s="9" t="s">
        <v>568</v>
      </c>
      <c r="H38" s="9" t="s">
        <v>928</v>
      </c>
      <c r="I38" s="9" t="s">
        <v>569</v>
      </c>
      <c r="J38" s="9" t="s">
        <v>569</v>
      </c>
      <c r="K38" s="9" t="s">
        <v>932</v>
      </c>
      <c r="L38" s="9" t="s">
        <v>117</v>
      </c>
      <c r="M38" s="9" t="s">
        <v>690</v>
      </c>
      <c r="N38" s="9" t="s">
        <v>842</v>
      </c>
      <c r="O38" s="9" t="s">
        <v>967</v>
      </c>
      <c r="P38" s="9" t="s">
        <v>571</v>
      </c>
      <c r="Q38" s="9" t="s">
        <v>572</v>
      </c>
    </row>
    <row r="39" spans="1:17" s="9" customFormat="1" x14ac:dyDescent="0.25">
      <c r="A39" s="9" t="s">
        <v>109</v>
      </c>
      <c r="B39" s="9" t="s">
        <v>110</v>
      </c>
      <c r="C39" s="9" t="s">
        <v>110</v>
      </c>
      <c r="D39" s="9" t="s">
        <v>108</v>
      </c>
      <c r="E39" s="9" t="s">
        <v>241</v>
      </c>
      <c r="F39" s="9" t="s">
        <v>3</v>
      </c>
      <c r="G39" s="9" t="s">
        <v>568</v>
      </c>
      <c r="H39" s="9" t="s">
        <v>928</v>
      </c>
      <c r="I39" s="9" t="s">
        <v>569</v>
      </c>
      <c r="J39" s="9" t="s">
        <v>569</v>
      </c>
      <c r="K39" s="9" t="s">
        <v>932</v>
      </c>
      <c r="L39" s="9" t="s">
        <v>117</v>
      </c>
      <c r="M39" s="9" t="s">
        <v>729</v>
      </c>
      <c r="N39" s="9" t="s">
        <v>860</v>
      </c>
      <c r="O39" s="9" t="s">
        <v>968</v>
      </c>
      <c r="P39" s="9" t="s">
        <v>571</v>
      </c>
      <c r="Q39" s="9" t="s">
        <v>572</v>
      </c>
    </row>
    <row r="40" spans="1:17" s="9" customFormat="1" x14ac:dyDescent="0.25">
      <c r="A40" s="9" t="s">
        <v>169</v>
      </c>
      <c r="B40" s="9" t="s">
        <v>265</v>
      </c>
      <c r="C40" s="9" t="s">
        <v>170</v>
      </c>
      <c r="D40" s="9" t="s">
        <v>78</v>
      </c>
      <c r="E40" s="9" t="s">
        <v>236</v>
      </c>
      <c r="F40" s="9" t="s">
        <v>3</v>
      </c>
      <c r="G40" s="9" t="s">
        <v>590</v>
      </c>
      <c r="H40" s="9" t="s">
        <v>928</v>
      </c>
      <c r="I40" s="9" t="s">
        <v>569</v>
      </c>
      <c r="J40" s="9" t="s">
        <v>569</v>
      </c>
      <c r="K40" s="9" t="s">
        <v>932</v>
      </c>
      <c r="L40" s="9" t="s">
        <v>117</v>
      </c>
      <c r="M40" s="9" t="s">
        <v>708</v>
      </c>
      <c r="N40" s="9" t="s">
        <v>825</v>
      </c>
      <c r="O40" s="9" t="s">
        <v>969</v>
      </c>
      <c r="P40" s="9" t="s">
        <v>571</v>
      </c>
      <c r="Q40" s="9" t="s">
        <v>572</v>
      </c>
    </row>
    <row r="41" spans="1:17" s="9" customFormat="1" x14ac:dyDescent="0.25">
      <c r="A41" s="9" t="s">
        <v>140</v>
      </c>
      <c r="B41" s="9" t="s">
        <v>141</v>
      </c>
      <c r="C41" s="9" t="s">
        <v>141</v>
      </c>
      <c r="D41" s="9" t="s">
        <v>308</v>
      </c>
      <c r="E41" s="9" t="s">
        <v>240</v>
      </c>
      <c r="F41" s="9" t="s">
        <v>3</v>
      </c>
      <c r="G41" s="9" t="s">
        <v>590</v>
      </c>
      <c r="H41" s="9" t="s">
        <v>928</v>
      </c>
      <c r="I41" s="9" t="s">
        <v>569</v>
      </c>
      <c r="J41" s="9" t="s">
        <v>569</v>
      </c>
      <c r="K41" s="9" t="s">
        <v>932</v>
      </c>
      <c r="L41" s="9" t="s">
        <v>117</v>
      </c>
      <c r="M41" s="9" t="s">
        <v>734</v>
      </c>
      <c r="N41" s="9" t="s">
        <v>890</v>
      </c>
      <c r="O41" s="9" t="s">
        <v>970</v>
      </c>
      <c r="P41" s="9" t="s">
        <v>571</v>
      </c>
      <c r="Q41" s="9" t="s">
        <v>572</v>
      </c>
    </row>
    <row r="42" spans="1:17" s="9" customFormat="1" x14ac:dyDescent="0.25">
      <c r="A42" s="9" t="s">
        <v>36</v>
      </c>
      <c r="B42" s="9" t="s">
        <v>37</v>
      </c>
      <c r="C42" s="9" t="s">
        <v>37</v>
      </c>
      <c r="D42" s="9" t="s">
        <v>35</v>
      </c>
      <c r="E42" s="9" t="s">
        <v>243</v>
      </c>
      <c r="F42" s="9" t="s">
        <v>3</v>
      </c>
      <c r="G42" s="9" t="s">
        <v>590</v>
      </c>
      <c r="H42" s="9" t="s">
        <v>928</v>
      </c>
      <c r="I42" s="9" t="s">
        <v>569</v>
      </c>
      <c r="J42" s="9" t="s">
        <v>569</v>
      </c>
      <c r="K42" s="9" t="s">
        <v>932</v>
      </c>
      <c r="L42" s="9" t="s">
        <v>117</v>
      </c>
      <c r="M42" s="9" t="s">
        <v>682</v>
      </c>
      <c r="N42" s="9" t="s">
        <v>839</v>
      </c>
      <c r="O42" s="9" t="s">
        <v>971</v>
      </c>
      <c r="P42" s="9" t="s">
        <v>571</v>
      </c>
      <c r="Q42" s="9" t="s">
        <v>572</v>
      </c>
    </row>
    <row r="43" spans="1:17" s="9" customFormat="1" x14ac:dyDescent="0.25">
      <c r="A43" s="9" t="s">
        <v>33</v>
      </c>
      <c r="B43" s="9" t="s">
        <v>34</v>
      </c>
      <c r="C43" s="9" t="s">
        <v>186</v>
      </c>
      <c r="D43" s="9" t="s">
        <v>32</v>
      </c>
      <c r="E43" s="9" t="s">
        <v>236</v>
      </c>
      <c r="F43" s="9" t="s">
        <v>3</v>
      </c>
      <c r="G43" s="9" t="s">
        <v>590</v>
      </c>
      <c r="H43" s="9" t="s">
        <v>928</v>
      </c>
      <c r="I43" s="9" t="s">
        <v>569</v>
      </c>
      <c r="J43" s="9" t="s">
        <v>569</v>
      </c>
      <c r="K43" s="9" t="s">
        <v>932</v>
      </c>
      <c r="L43" s="9" t="s">
        <v>117</v>
      </c>
      <c r="M43" s="9" t="s">
        <v>694</v>
      </c>
      <c r="N43" s="9" t="s">
        <v>817</v>
      </c>
      <c r="O43" s="9" t="s">
        <v>972</v>
      </c>
      <c r="P43" s="9" t="s">
        <v>571</v>
      </c>
      <c r="Q43" s="9" t="s">
        <v>572</v>
      </c>
    </row>
    <row r="44" spans="1:17" s="9" customFormat="1" x14ac:dyDescent="0.25">
      <c r="A44" s="9" t="s">
        <v>11</v>
      </c>
      <c r="B44" s="9" t="s">
        <v>12</v>
      </c>
      <c r="C44" s="9" t="s">
        <v>12</v>
      </c>
      <c r="D44" s="9" t="s">
        <v>10</v>
      </c>
      <c r="E44" s="9" t="s">
        <v>241</v>
      </c>
      <c r="F44" s="9" t="s">
        <v>3</v>
      </c>
      <c r="G44" s="9" t="s">
        <v>590</v>
      </c>
      <c r="H44" s="9" t="s">
        <v>928</v>
      </c>
      <c r="I44" s="9" t="s">
        <v>569</v>
      </c>
      <c r="J44" s="9" t="s">
        <v>569</v>
      </c>
      <c r="K44" s="9" t="s">
        <v>932</v>
      </c>
      <c r="L44" s="9" t="s">
        <v>117</v>
      </c>
      <c r="M44" s="9" t="s">
        <v>718</v>
      </c>
      <c r="N44" s="9" t="s">
        <v>862</v>
      </c>
      <c r="O44" s="9" t="s">
        <v>973</v>
      </c>
      <c r="P44" s="9" t="s">
        <v>571</v>
      </c>
      <c r="Q44" s="9" t="s">
        <v>572</v>
      </c>
    </row>
    <row r="45" spans="1:17" s="9" customFormat="1" x14ac:dyDescent="0.25">
      <c r="A45" s="9" t="s">
        <v>120</v>
      </c>
      <c r="B45" s="9" t="s">
        <v>121</v>
      </c>
      <c r="C45" s="9" t="s">
        <v>121</v>
      </c>
      <c r="D45" s="9" t="s">
        <v>119</v>
      </c>
      <c r="E45" s="9" t="s">
        <v>236</v>
      </c>
      <c r="F45" s="9" t="s">
        <v>3</v>
      </c>
      <c r="G45" s="9" t="s">
        <v>590</v>
      </c>
      <c r="H45" s="9" t="s">
        <v>928</v>
      </c>
      <c r="I45" s="9" t="s">
        <v>569</v>
      </c>
      <c r="J45" s="9" t="s">
        <v>569</v>
      </c>
      <c r="K45" s="9" t="s">
        <v>932</v>
      </c>
      <c r="L45" s="9" t="s">
        <v>117</v>
      </c>
      <c r="M45" s="9" t="s">
        <v>687</v>
      </c>
      <c r="N45" s="9" t="s">
        <v>827</v>
      </c>
      <c r="O45" s="9" t="s">
        <v>974</v>
      </c>
      <c r="P45" s="9" t="s">
        <v>571</v>
      </c>
      <c r="Q45" s="9" t="s">
        <v>572</v>
      </c>
    </row>
    <row r="46" spans="1:17" s="9" customFormat="1" x14ac:dyDescent="0.25">
      <c r="A46" s="9" t="s">
        <v>343</v>
      </c>
      <c r="B46" s="9" t="s">
        <v>344</v>
      </c>
      <c r="C46" s="9" t="s">
        <v>345</v>
      </c>
      <c r="D46" s="9" t="s">
        <v>346</v>
      </c>
      <c r="E46" s="9" t="s">
        <v>241</v>
      </c>
      <c r="F46" s="9" t="s">
        <v>3</v>
      </c>
      <c r="G46" s="9" t="s">
        <v>590</v>
      </c>
      <c r="H46" s="9" t="s">
        <v>928</v>
      </c>
      <c r="I46" s="9" t="s">
        <v>569</v>
      </c>
      <c r="J46" s="9" t="s">
        <v>569</v>
      </c>
      <c r="K46" s="9" t="s">
        <v>932</v>
      </c>
      <c r="L46" s="9" t="s">
        <v>117</v>
      </c>
      <c r="M46" s="9" t="s">
        <v>712</v>
      </c>
      <c r="N46" s="9" t="s">
        <v>859</v>
      </c>
      <c r="O46" s="9" t="s">
        <v>975</v>
      </c>
      <c r="P46" s="9" t="s">
        <v>571</v>
      </c>
      <c r="Q46" s="9" t="s">
        <v>572</v>
      </c>
    </row>
    <row r="47" spans="1:17" s="9" customFormat="1" x14ac:dyDescent="0.25">
      <c r="A47" s="9" t="s">
        <v>149</v>
      </c>
      <c r="B47" s="9" t="s">
        <v>97</v>
      </c>
      <c r="C47" s="9" t="s">
        <v>97</v>
      </c>
      <c r="D47" s="9" t="s">
        <v>217</v>
      </c>
      <c r="E47" s="9" t="s">
        <v>248</v>
      </c>
      <c r="F47" s="9" t="s">
        <v>3</v>
      </c>
      <c r="G47" s="9" t="s">
        <v>590</v>
      </c>
      <c r="H47" s="9" t="s">
        <v>928</v>
      </c>
      <c r="I47" s="9" t="s">
        <v>569</v>
      </c>
      <c r="J47" s="9" t="s">
        <v>569</v>
      </c>
      <c r="K47" s="9" t="s">
        <v>932</v>
      </c>
      <c r="L47" s="9" t="s">
        <v>117</v>
      </c>
      <c r="M47" s="9" t="s">
        <v>744</v>
      </c>
      <c r="N47" s="9" t="s">
        <v>878</v>
      </c>
      <c r="O47" s="9" t="s">
        <v>976</v>
      </c>
      <c r="P47" s="9" t="s">
        <v>571</v>
      </c>
      <c r="Q47" s="9" t="s">
        <v>572</v>
      </c>
    </row>
    <row r="48" spans="1:17" s="9" customFormat="1" x14ac:dyDescent="0.25">
      <c r="A48" s="9" t="s">
        <v>69</v>
      </c>
      <c r="B48" s="9" t="s">
        <v>70</v>
      </c>
      <c r="C48" s="9" t="s">
        <v>70</v>
      </c>
      <c r="D48" s="9" t="s">
        <v>68</v>
      </c>
      <c r="E48" s="9" t="s">
        <v>249</v>
      </c>
      <c r="F48" s="9" t="s">
        <v>3</v>
      </c>
      <c r="G48" s="9" t="s">
        <v>590</v>
      </c>
      <c r="H48" s="9" t="s">
        <v>928</v>
      </c>
      <c r="I48" s="9" t="s">
        <v>569</v>
      </c>
      <c r="J48" s="9" t="s">
        <v>569</v>
      </c>
      <c r="K48" s="9" t="s">
        <v>932</v>
      </c>
      <c r="L48" s="9" t="s">
        <v>117</v>
      </c>
      <c r="M48" s="9" t="s">
        <v>735</v>
      </c>
      <c r="N48" s="9" t="s">
        <v>847</v>
      </c>
      <c r="O48" s="9" t="s">
        <v>977</v>
      </c>
      <c r="P48" s="9" t="s">
        <v>571</v>
      </c>
      <c r="Q48" s="9" t="s">
        <v>572</v>
      </c>
    </row>
    <row r="49" spans="1:17" s="9" customFormat="1" x14ac:dyDescent="0.25">
      <c r="A49" s="9" t="s">
        <v>29</v>
      </c>
      <c r="B49" s="9" t="s">
        <v>137</v>
      </c>
      <c r="C49" s="9" t="s">
        <v>30</v>
      </c>
      <c r="D49" s="9" t="s">
        <v>28</v>
      </c>
      <c r="E49" s="9" t="s">
        <v>246</v>
      </c>
      <c r="F49" s="9" t="s">
        <v>3</v>
      </c>
      <c r="G49" s="9" t="s">
        <v>568</v>
      </c>
      <c r="H49" s="9" t="s">
        <v>928</v>
      </c>
      <c r="I49" s="9" t="s">
        <v>569</v>
      </c>
      <c r="J49" s="9" t="s">
        <v>569</v>
      </c>
      <c r="K49" s="9" t="s">
        <v>932</v>
      </c>
      <c r="L49" s="9" t="s">
        <v>117</v>
      </c>
      <c r="M49" s="9" t="s">
        <v>727</v>
      </c>
      <c r="N49" s="9" t="s">
        <v>891</v>
      </c>
      <c r="O49" s="9" t="s">
        <v>978</v>
      </c>
      <c r="P49" s="9" t="s">
        <v>571</v>
      </c>
      <c r="Q49" s="9" t="s">
        <v>572</v>
      </c>
    </row>
    <row r="50" spans="1:17" s="9" customFormat="1" x14ac:dyDescent="0.25">
      <c r="A50" s="9" t="s">
        <v>150</v>
      </c>
      <c r="B50" s="9" t="s">
        <v>440</v>
      </c>
      <c r="C50" s="9" t="s">
        <v>151</v>
      </c>
      <c r="D50" s="9" t="s">
        <v>224</v>
      </c>
      <c r="E50" s="9" t="s">
        <v>236</v>
      </c>
      <c r="F50" s="9" t="s">
        <v>3</v>
      </c>
      <c r="G50" s="9" t="s">
        <v>590</v>
      </c>
      <c r="H50" s="9" t="s">
        <v>928</v>
      </c>
      <c r="I50" s="9" t="s">
        <v>569</v>
      </c>
      <c r="J50" s="9" t="s">
        <v>569</v>
      </c>
      <c r="K50" s="9" t="s">
        <v>932</v>
      </c>
      <c r="L50" s="9" t="s">
        <v>117</v>
      </c>
      <c r="M50" s="9" t="s">
        <v>746</v>
      </c>
      <c r="N50" s="9" t="s">
        <v>855</v>
      </c>
      <c r="O50" s="9" t="s">
        <v>979</v>
      </c>
      <c r="P50" s="9" t="s">
        <v>571</v>
      </c>
      <c r="Q50" s="9" t="s">
        <v>572</v>
      </c>
    </row>
    <row r="51" spans="1:17" s="9" customFormat="1" x14ac:dyDescent="0.25">
      <c r="A51" s="9" t="s">
        <v>162</v>
      </c>
      <c r="B51" s="9" t="s">
        <v>79</v>
      </c>
      <c r="C51" s="9" t="s">
        <v>79</v>
      </c>
      <c r="D51" s="9" t="s">
        <v>218</v>
      </c>
      <c r="E51" s="9" t="s">
        <v>236</v>
      </c>
      <c r="F51" s="9" t="s">
        <v>3</v>
      </c>
      <c r="G51" s="9" t="s">
        <v>590</v>
      </c>
      <c r="H51" s="9" t="s">
        <v>928</v>
      </c>
      <c r="I51" s="9" t="s">
        <v>569</v>
      </c>
      <c r="J51" s="9" t="s">
        <v>569</v>
      </c>
      <c r="K51" s="9" t="s">
        <v>932</v>
      </c>
      <c r="L51" s="9" t="s">
        <v>117</v>
      </c>
      <c r="M51" s="9" t="s">
        <v>728</v>
      </c>
      <c r="N51" s="9" t="s">
        <v>875</v>
      </c>
      <c r="O51" s="9" t="s">
        <v>980</v>
      </c>
      <c r="P51" s="9" t="s">
        <v>571</v>
      </c>
      <c r="Q51" s="9" t="s">
        <v>572</v>
      </c>
    </row>
    <row r="52" spans="1:17" s="9" customFormat="1" x14ac:dyDescent="0.25">
      <c r="A52" s="9" t="s">
        <v>443</v>
      </c>
      <c r="B52" s="9" t="s">
        <v>444</v>
      </c>
      <c r="C52" s="9" t="s">
        <v>444</v>
      </c>
      <c r="D52" s="9" t="s">
        <v>445</v>
      </c>
      <c r="E52" s="9" t="s">
        <v>240</v>
      </c>
      <c r="F52" s="9" t="s">
        <v>3</v>
      </c>
      <c r="G52" s="9" t="s">
        <v>568</v>
      </c>
      <c r="H52" s="9" t="s">
        <v>928</v>
      </c>
      <c r="I52" s="9" t="s">
        <v>569</v>
      </c>
      <c r="J52" s="9" t="s">
        <v>569</v>
      </c>
      <c r="K52" s="9" t="s">
        <v>932</v>
      </c>
      <c r="L52" s="9" t="s">
        <v>117</v>
      </c>
      <c r="M52" s="9" t="s">
        <v>714</v>
      </c>
      <c r="N52" s="9" t="s">
        <v>856</v>
      </c>
      <c r="O52" s="9" t="s">
        <v>981</v>
      </c>
      <c r="P52" s="9" t="s">
        <v>571</v>
      </c>
      <c r="Q52" s="9" t="s">
        <v>572</v>
      </c>
    </row>
    <row r="53" spans="1:17" s="9" customFormat="1" x14ac:dyDescent="0.25">
      <c r="A53" s="9" t="s">
        <v>275</v>
      </c>
      <c r="B53" s="9" t="s">
        <v>276</v>
      </c>
      <c r="C53" s="9" t="s">
        <v>277</v>
      </c>
      <c r="D53" s="9" t="s">
        <v>278</v>
      </c>
      <c r="E53" s="9" t="s">
        <v>246</v>
      </c>
      <c r="F53" s="9" t="s">
        <v>3</v>
      </c>
      <c r="G53" s="9" t="s">
        <v>568</v>
      </c>
      <c r="H53" s="9" t="s">
        <v>928</v>
      </c>
      <c r="I53" s="9" t="s">
        <v>569</v>
      </c>
      <c r="J53" s="9" t="s">
        <v>569</v>
      </c>
      <c r="K53" s="9" t="s">
        <v>932</v>
      </c>
      <c r="L53" s="9" t="s">
        <v>117</v>
      </c>
      <c r="M53" s="9" t="s">
        <v>710</v>
      </c>
      <c r="N53" s="9" t="s">
        <v>869</v>
      </c>
      <c r="O53" s="9" t="s">
        <v>982</v>
      </c>
      <c r="P53" s="9" t="s">
        <v>571</v>
      </c>
      <c r="Q53" s="9" t="s">
        <v>572</v>
      </c>
    </row>
    <row r="54" spans="1:17" s="9" customFormat="1" x14ac:dyDescent="0.25">
      <c r="A54" s="9" t="s">
        <v>291</v>
      </c>
      <c r="B54" s="9" t="s">
        <v>292</v>
      </c>
      <c r="C54" s="9" t="s">
        <v>292</v>
      </c>
      <c r="D54" s="9" t="s">
        <v>22</v>
      </c>
      <c r="E54" s="9" t="s">
        <v>241</v>
      </c>
      <c r="F54" s="9" t="s">
        <v>3</v>
      </c>
      <c r="G54" s="9" t="s">
        <v>568</v>
      </c>
      <c r="H54" s="9" t="s">
        <v>928</v>
      </c>
      <c r="I54" s="9" t="s">
        <v>569</v>
      </c>
      <c r="J54" s="9" t="s">
        <v>569</v>
      </c>
      <c r="K54" s="9" t="s">
        <v>932</v>
      </c>
      <c r="L54" s="9" t="s">
        <v>117</v>
      </c>
      <c r="M54" s="9" t="s">
        <v>713</v>
      </c>
      <c r="N54" s="9" t="s">
        <v>833</v>
      </c>
      <c r="O54" s="9" t="s">
        <v>983</v>
      </c>
      <c r="P54" s="9" t="s">
        <v>571</v>
      </c>
      <c r="Q54" s="9" t="s">
        <v>572</v>
      </c>
    </row>
    <row r="55" spans="1:17" s="9" customFormat="1" x14ac:dyDescent="0.25">
      <c r="A55" s="9" t="s">
        <v>87</v>
      </c>
      <c r="B55" s="9" t="s">
        <v>234</v>
      </c>
      <c r="C55" s="9" t="s">
        <v>234</v>
      </c>
      <c r="D55" s="9" t="s">
        <v>86</v>
      </c>
      <c r="E55" s="9" t="s">
        <v>266</v>
      </c>
      <c r="F55" s="9" t="s">
        <v>3</v>
      </c>
      <c r="G55" s="9" t="s">
        <v>590</v>
      </c>
      <c r="H55" s="9" t="s">
        <v>928</v>
      </c>
      <c r="I55" s="9" t="s">
        <v>569</v>
      </c>
      <c r="J55" s="9" t="s">
        <v>569</v>
      </c>
      <c r="K55" s="9" t="s">
        <v>932</v>
      </c>
      <c r="L55" s="9" t="s">
        <v>117</v>
      </c>
      <c r="M55" s="9" t="s">
        <v>701</v>
      </c>
      <c r="N55" s="9" t="s">
        <v>857</v>
      </c>
      <c r="O55" s="9" t="s">
        <v>984</v>
      </c>
      <c r="P55" s="9" t="s">
        <v>571</v>
      </c>
      <c r="Q55" s="9" t="s">
        <v>572</v>
      </c>
    </row>
    <row r="56" spans="1:17" s="9" customFormat="1" x14ac:dyDescent="0.25">
      <c r="A56" s="9" t="s">
        <v>53</v>
      </c>
      <c r="B56" s="9" t="s">
        <v>54</v>
      </c>
      <c r="C56" s="9" t="s">
        <v>54</v>
      </c>
      <c r="D56" s="9" t="s">
        <v>153</v>
      </c>
      <c r="E56" s="9" t="s">
        <v>245</v>
      </c>
      <c r="F56" s="9" t="s">
        <v>3</v>
      </c>
      <c r="G56" s="9" t="s">
        <v>590</v>
      </c>
      <c r="H56" s="9" t="s">
        <v>928</v>
      </c>
      <c r="I56" s="9" t="s">
        <v>569</v>
      </c>
      <c r="J56" s="9" t="s">
        <v>569</v>
      </c>
      <c r="K56" s="9" t="s">
        <v>932</v>
      </c>
      <c r="L56" s="9" t="s">
        <v>117</v>
      </c>
      <c r="M56" s="9" t="s">
        <v>699</v>
      </c>
      <c r="N56" s="9" t="s">
        <v>863</v>
      </c>
      <c r="O56" s="9" t="s">
        <v>985</v>
      </c>
      <c r="P56" s="9" t="s">
        <v>571</v>
      </c>
      <c r="Q56" s="9" t="s">
        <v>572</v>
      </c>
    </row>
    <row r="57" spans="1:17" s="9" customFormat="1" x14ac:dyDescent="0.25">
      <c r="A57" s="9" t="s">
        <v>359</v>
      </c>
      <c r="B57" s="9" t="s">
        <v>360</v>
      </c>
      <c r="C57" s="9" t="s">
        <v>361</v>
      </c>
      <c r="D57" s="9" t="s">
        <v>362</v>
      </c>
      <c r="E57" s="9" t="s">
        <v>246</v>
      </c>
      <c r="F57" s="9" t="s">
        <v>3</v>
      </c>
      <c r="G57" s="9" t="s">
        <v>568</v>
      </c>
      <c r="H57" s="9" t="s">
        <v>928</v>
      </c>
      <c r="I57" s="9" t="s">
        <v>569</v>
      </c>
      <c r="J57" s="9" t="s">
        <v>569</v>
      </c>
      <c r="K57" s="9" t="s">
        <v>932</v>
      </c>
      <c r="L57" s="9" t="s">
        <v>117</v>
      </c>
      <c r="M57" s="9" t="s">
        <v>738</v>
      </c>
      <c r="N57" s="9" t="s">
        <v>823</v>
      </c>
      <c r="O57" s="9" t="s">
        <v>986</v>
      </c>
      <c r="P57" s="9" t="s">
        <v>571</v>
      </c>
      <c r="Q57" s="9" t="s">
        <v>572</v>
      </c>
    </row>
    <row r="58" spans="1:17" s="9" customFormat="1" x14ac:dyDescent="0.25">
      <c r="A58" s="9" t="s">
        <v>347</v>
      </c>
      <c r="B58" s="9" t="s">
        <v>348</v>
      </c>
      <c r="C58" s="9" t="s">
        <v>348</v>
      </c>
      <c r="D58" s="9" t="s">
        <v>349</v>
      </c>
      <c r="E58" s="9" t="s">
        <v>241</v>
      </c>
      <c r="F58" s="9" t="s">
        <v>3</v>
      </c>
      <c r="G58" s="9" t="s">
        <v>568</v>
      </c>
      <c r="H58" s="9" t="s">
        <v>928</v>
      </c>
      <c r="I58" s="9" t="s">
        <v>569</v>
      </c>
      <c r="J58" s="9" t="s">
        <v>569</v>
      </c>
      <c r="K58" s="9" t="s">
        <v>932</v>
      </c>
      <c r="L58" s="9" t="s">
        <v>117</v>
      </c>
      <c r="M58" s="9" t="s">
        <v>704</v>
      </c>
      <c r="N58" s="9" t="s">
        <v>879</v>
      </c>
      <c r="O58" s="9" t="s">
        <v>987</v>
      </c>
      <c r="P58" s="9" t="s">
        <v>571</v>
      </c>
      <c r="Q58" s="9" t="s">
        <v>572</v>
      </c>
    </row>
    <row r="59" spans="1:17" s="9" customFormat="1" x14ac:dyDescent="0.25">
      <c r="A59" s="9" t="s">
        <v>21</v>
      </c>
      <c r="B59" s="9" t="s">
        <v>281</v>
      </c>
      <c r="C59" s="9" t="s">
        <v>81</v>
      </c>
      <c r="D59" s="9" t="s">
        <v>20</v>
      </c>
      <c r="E59" s="9" t="s">
        <v>246</v>
      </c>
      <c r="F59" s="9" t="s">
        <v>3</v>
      </c>
      <c r="G59" s="9" t="s">
        <v>568</v>
      </c>
      <c r="H59" s="9" t="s">
        <v>928</v>
      </c>
      <c r="I59" s="9" t="s">
        <v>569</v>
      </c>
      <c r="J59" s="9" t="s">
        <v>569</v>
      </c>
      <c r="K59" s="9" t="s">
        <v>932</v>
      </c>
      <c r="L59" s="9" t="s">
        <v>117</v>
      </c>
      <c r="M59" s="9" t="s">
        <v>700</v>
      </c>
      <c r="N59" s="9" t="s">
        <v>850</v>
      </c>
      <c r="O59" s="9" t="s">
        <v>988</v>
      </c>
      <c r="P59" s="9" t="s">
        <v>571</v>
      </c>
      <c r="Q59" s="9" t="s">
        <v>572</v>
      </c>
    </row>
    <row r="60" spans="1:17" s="9" customFormat="1" x14ac:dyDescent="0.25">
      <c r="A60" s="9" t="s">
        <v>142</v>
      </c>
      <c r="B60" s="9" t="s">
        <v>61</v>
      </c>
      <c r="C60" s="9" t="s">
        <v>61</v>
      </c>
      <c r="D60" s="9" t="s">
        <v>223</v>
      </c>
      <c r="E60" s="9" t="s">
        <v>245</v>
      </c>
      <c r="F60" s="9" t="s">
        <v>3</v>
      </c>
      <c r="G60" s="9" t="s">
        <v>590</v>
      </c>
      <c r="H60" s="9" t="s">
        <v>928</v>
      </c>
      <c r="I60" s="9" t="s">
        <v>569</v>
      </c>
      <c r="J60" s="9" t="s">
        <v>569</v>
      </c>
      <c r="K60" s="9" t="s">
        <v>932</v>
      </c>
      <c r="L60" s="9" t="s">
        <v>117</v>
      </c>
      <c r="M60" s="9" t="s">
        <v>743</v>
      </c>
      <c r="N60" s="9" t="s">
        <v>889</v>
      </c>
      <c r="O60" s="9" t="s">
        <v>989</v>
      </c>
      <c r="P60" s="9" t="s">
        <v>571</v>
      </c>
      <c r="Q60" s="9" t="s">
        <v>572</v>
      </c>
    </row>
    <row r="61" spans="1:17" s="9" customFormat="1" x14ac:dyDescent="0.25">
      <c r="A61" s="9" t="s">
        <v>164</v>
      </c>
      <c r="B61" s="9" t="s">
        <v>75</v>
      </c>
      <c r="C61" s="9" t="s">
        <v>75</v>
      </c>
      <c r="D61" s="9" t="s">
        <v>220</v>
      </c>
      <c r="E61" s="9" t="s">
        <v>241</v>
      </c>
      <c r="F61" s="9" t="s">
        <v>3</v>
      </c>
      <c r="G61" s="9" t="s">
        <v>568</v>
      </c>
      <c r="H61" s="9" t="s">
        <v>928</v>
      </c>
      <c r="I61" s="9" t="s">
        <v>569</v>
      </c>
      <c r="J61" s="9" t="s">
        <v>569</v>
      </c>
      <c r="K61" s="9" t="s">
        <v>932</v>
      </c>
      <c r="L61" s="9" t="s">
        <v>117</v>
      </c>
      <c r="M61" s="9" t="s">
        <v>719</v>
      </c>
      <c r="N61" s="9" t="s">
        <v>865</v>
      </c>
      <c r="O61" s="9" t="s">
        <v>990</v>
      </c>
      <c r="P61" s="9" t="s">
        <v>571</v>
      </c>
      <c r="Q61" s="9" t="s">
        <v>572</v>
      </c>
    </row>
    <row r="62" spans="1:17" s="9" customFormat="1" x14ac:dyDescent="0.25">
      <c r="A62" s="9" t="s">
        <v>326</v>
      </c>
      <c r="B62" s="9" t="s">
        <v>327</v>
      </c>
      <c r="C62" s="9" t="s">
        <v>327</v>
      </c>
      <c r="D62" s="9" t="s">
        <v>328</v>
      </c>
      <c r="E62" s="9" t="s">
        <v>247</v>
      </c>
      <c r="F62" s="9" t="s">
        <v>3</v>
      </c>
      <c r="G62" s="9" t="s">
        <v>568</v>
      </c>
      <c r="H62" s="9" t="s">
        <v>928</v>
      </c>
      <c r="I62" s="9" t="s">
        <v>569</v>
      </c>
      <c r="J62" s="9" t="s">
        <v>569</v>
      </c>
      <c r="K62" s="9" t="s">
        <v>932</v>
      </c>
      <c r="L62" s="9" t="s">
        <v>117</v>
      </c>
      <c r="M62" s="9" t="s">
        <v>741</v>
      </c>
      <c r="N62" s="9" t="s">
        <v>854</v>
      </c>
      <c r="O62" s="9" t="s">
        <v>991</v>
      </c>
      <c r="P62" s="9" t="s">
        <v>571</v>
      </c>
      <c r="Q62" s="9" t="s">
        <v>572</v>
      </c>
    </row>
    <row r="63" spans="1:17" s="9" customFormat="1" x14ac:dyDescent="0.25">
      <c r="A63" s="9" t="s">
        <v>211</v>
      </c>
      <c r="B63" s="9" t="s">
        <v>227</v>
      </c>
      <c r="C63" s="9" t="s">
        <v>227</v>
      </c>
      <c r="D63" s="9" t="s">
        <v>228</v>
      </c>
      <c r="E63" s="9" t="s">
        <v>241</v>
      </c>
      <c r="F63" s="9" t="s">
        <v>3</v>
      </c>
      <c r="G63" s="9" t="s">
        <v>568</v>
      </c>
      <c r="H63" s="9" t="s">
        <v>928</v>
      </c>
      <c r="I63" s="9" t="s">
        <v>569</v>
      </c>
      <c r="J63" s="9" t="s">
        <v>569</v>
      </c>
      <c r="K63" s="9" t="s">
        <v>932</v>
      </c>
      <c r="L63" s="9" t="s">
        <v>117</v>
      </c>
      <c r="M63" s="9" t="s">
        <v>709</v>
      </c>
      <c r="N63" s="9" t="s">
        <v>853</v>
      </c>
      <c r="O63" s="9" t="s">
        <v>992</v>
      </c>
      <c r="P63" s="9" t="s">
        <v>571</v>
      </c>
      <c r="Q63" s="9" t="s">
        <v>572</v>
      </c>
    </row>
    <row r="64" spans="1:17" s="9" customFormat="1" x14ac:dyDescent="0.25">
      <c r="A64" s="9" t="s">
        <v>146</v>
      </c>
      <c r="B64" s="9" t="s">
        <v>77</v>
      </c>
      <c r="C64" s="9" t="s">
        <v>77</v>
      </c>
      <c r="D64" s="9" t="s">
        <v>76</v>
      </c>
      <c r="E64" s="9" t="s">
        <v>248</v>
      </c>
      <c r="F64" s="9" t="s">
        <v>3</v>
      </c>
      <c r="G64" s="9" t="s">
        <v>590</v>
      </c>
      <c r="H64" s="9" t="s">
        <v>928</v>
      </c>
      <c r="I64" s="9" t="s">
        <v>569</v>
      </c>
      <c r="J64" s="9" t="s">
        <v>569</v>
      </c>
      <c r="K64" s="9" t="s">
        <v>932</v>
      </c>
      <c r="L64" s="9" t="s">
        <v>117</v>
      </c>
      <c r="M64" s="9" t="s">
        <v>693</v>
      </c>
      <c r="N64" s="9" t="s">
        <v>840</v>
      </c>
      <c r="O64" s="9" t="s">
        <v>993</v>
      </c>
      <c r="P64" s="9" t="s">
        <v>571</v>
      </c>
      <c r="Q64" s="9" t="s">
        <v>572</v>
      </c>
    </row>
    <row r="65" spans="1:17" s="9" customFormat="1" x14ac:dyDescent="0.25">
      <c r="A65" s="9" t="s">
        <v>82</v>
      </c>
      <c r="B65" s="9" t="s">
        <v>257</v>
      </c>
      <c r="C65" s="9" t="s">
        <v>159</v>
      </c>
      <c r="D65" s="9" t="s">
        <v>358</v>
      </c>
      <c r="E65" s="9" t="s">
        <v>246</v>
      </c>
      <c r="F65" s="9" t="s">
        <v>3</v>
      </c>
      <c r="G65" s="9" t="s">
        <v>568</v>
      </c>
      <c r="H65" s="9" t="s">
        <v>928</v>
      </c>
      <c r="I65" s="9" t="s">
        <v>569</v>
      </c>
      <c r="J65" s="9" t="s">
        <v>569</v>
      </c>
      <c r="K65" s="9" t="s">
        <v>932</v>
      </c>
      <c r="L65" s="9" t="s">
        <v>117</v>
      </c>
      <c r="M65" s="9" t="s">
        <v>739</v>
      </c>
      <c r="N65" s="9" t="s">
        <v>848</v>
      </c>
      <c r="O65" s="9" t="s">
        <v>994</v>
      </c>
      <c r="P65" s="9" t="s">
        <v>571</v>
      </c>
      <c r="Q65" s="9" t="s">
        <v>572</v>
      </c>
    </row>
    <row r="66" spans="1:17" s="9" customFormat="1" x14ac:dyDescent="0.25">
      <c r="A66" s="9" t="s">
        <v>51</v>
      </c>
      <c r="B66" s="9" t="s">
        <v>52</v>
      </c>
      <c r="C66" s="9" t="s">
        <v>52</v>
      </c>
      <c r="D66" s="9" t="s">
        <v>50</v>
      </c>
      <c r="E66" s="9" t="s">
        <v>240</v>
      </c>
      <c r="F66" s="9" t="s">
        <v>3</v>
      </c>
      <c r="G66" s="9" t="s">
        <v>590</v>
      </c>
      <c r="H66" s="9" t="s">
        <v>928</v>
      </c>
      <c r="I66" s="9" t="s">
        <v>569</v>
      </c>
      <c r="J66" s="9" t="s">
        <v>569</v>
      </c>
      <c r="K66" s="9" t="s">
        <v>932</v>
      </c>
      <c r="L66" s="9" t="s">
        <v>117</v>
      </c>
      <c r="M66" s="9" t="s">
        <v>689</v>
      </c>
      <c r="N66" s="9" t="s">
        <v>824</v>
      </c>
      <c r="O66" s="9" t="s">
        <v>995</v>
      </c>
      <c r="P66" s="9" t="s">
        <v>571</v>
      </c>
      <c r="Q66" s="9" t="s">
        <v>572</v>
      </c>
    </row>
    <row r="67" spans="1:17" s="9" customFormat="1" x14ac:dyDescent="0.25">
      <c r="A67" s="9" t="s">
        <v>339</v>
      </c>
      <c r="B67" s="9" t="s">
        <v>340</v>
      </c>
      <c r="C67" s="9" t="s">
        <v>341</v>
      </c>
      <c r="D67" s="9" t="s">
        <v>342</v>
      </c>
      <c r="E67" s="9" t="s">
        <v>240</v>
      </c>
      <c r="F67" s="9" t="s">
        <v>3</v>
      </c>
      <c r="G67" s="9" t="s">
        <v>568</v>
      </c>
      <c r="H67" s="9" t="s">
        <v>928</v>
      </c>
      <c r="I67" s="9" t="s">
        <v>569</v>
      </c>
      <c r="J67" s="9" t="s">
        <v>569</v>
      </c>
      <c r="K67" s="9" t="s">
        <v>932</v>
      </c>
      <c r="L67" s="9" t="s">
        <v>117</v>
      </c>
      <c r="M67" s="9" t="s">
        <v>683</v>
      </c>
      <c r="N67" s="9" t="s">
        <v>835</v>
      </c>
      <c r="O67" s="9" t="s">
        <v>996</v>
      </c>
      <c r="P67" s="9" t="s">
        <v>571</v>
      </c>
      <c r="Q67" s="9" t="s">
        <v>572</v>
      </c>
    </row>
    <row r="68" spans="1:17" s="9" customFormat="1" x14ac:dyDescent="0.25">
      <c r="A68" s="9" t="s">
        <v>317</v>
      </c>
      <c r="B68" s="9" t="s">
        <v>318</v>
      </c>
      <c r="C68" s="9" t="s">
        <v>318</v>
      </c>
      <c r="D68" s="9" t="s">
        <v>319</v>
      </c>
      <c r="E68" s="9" t="s">
        <v>248</v>
      </c>
      <c r="F68" s="9" t="s">
        <v>3</v>
      </c>
      <c r="G68" s="9" t="s">
        <v>568</v>
      </c>
      <c r="H68" s="9" t="s">
        <v>928</v>
      </c>
      <c r="I68" s="9" t="s">
        <v>569</v>
      </c>
      <c r="J68" s="9" t="s">
        <v>569</v>
      </c>
      <c r="K68" s="9" t="s">
        <v>932</v>
      </c>
      <c r="L68" s="9" t="s">
        <v>117</v>
      </c>
      <c r="M68" s="9" t="s">
        <v>705</v>
      </c>
      <c r="N68" s="9" t="s">
        <v>826</v>
      </c>
      <c r="O68" s="9" t="s">
        <v>997</v>
      </c>
      <c r="P68" s="9" t="s">
        <v>571</v>
      </c>
      <c r="Q68" s="9" t="s">
        <v>572</v>
      </c>
    </row>
    <row r="69" spans="1:17" s="9" customFormat="1" x14ac:dyDescent="0.25">
      <c r="A69" s="9" t="s">
        <v>112</v>
      </c>
      <c r="B69" s="9" t="s">
        <v>113</v>
      </c>
      <c r="C69" s="9" t="s">
        <v>113</v>
      </c>
      <c r="D69" s="9" t="s">
        <v>111</v>
      </c>
      <c r="E69" s="9" t="s">
        <v>237</v>
      </c>
      <c r="F69" s="9" t="s">
        <v>3</v>
      </c>
      <c r="G69" s="9" t="s">
        <v>590</v>
      </c>
      <c r="H69" s="9" t="s">
        <v>928</v>
      </c>
      <c r="I69" s="9" t="s">
        <v>569</v>
      </c>
      <c r="J69" s="9" t="s">
        <v>569</v>
      </c>
      <c r="K69" s="9" t="s">
        <v>932</v>
      </c>
      <c r="L69" s="9" t="s">
        <v>117</v>
      </c>
      <c r="M69" s="9" t="s">
        <v>692</v>
      </c>
      <c r="N69" s="9" t="s">
        <v>834</v>
      </c>
      <c r="O69" s="9" t="s">
        <v>998</v>
      </c>
      <c r="P69" s="9" t="s">
        <v>571</v>
      </c>
      <c r="Q69" s="9" t="s">
        <v>572</v>
      </c>
    </row>
    <row r="70" spans="1:17" s="9" customFormat="1" x14ac:dyDescent="0.25">
      <c r="A70" s="9" t="s">
        <v>298</v>
      </c>
      <c r="B70" s="9" t="s">
        <v>299</v>
      </c>
      <c r="C70" s="9" t="s">
        <v>299</v>
      </c>
      <c r="D70" s="9" t="s">
        <v>43</v>
      </c>
      <c r="E70" s="9" t="s">
        <v>236</v>
      </c>
      <c r="F70" s="9" t="s">
        <v>3</v>
      </c>
      <c r="G70" s="9" t="s">
        <v>568</v>
      </c>
      <c r="H70" s="9" t="s">
        <v>928</v>
      </c>
      <c r="I70" s="9" t="s">
        <v>569</v>
      </c>
      <c r="J70" s="9" t="s">
        <v>569</v>
      </c>
      <c r="K70" s="9" t="s">
        <v>932</v>
      </c>
      <c r="L70" s="9" t="s">
        <v>117</v>
      </c>
      <c r="M70" s="9" t="s">
        <v>725</v>
      </c>
      <c r="N70" s="9" t="s">
        <v>845</v>
      </c>
      <c r="O70" s="9" t="s">
        <v>999</v>
      </c>
      <c r="P70" s="9" t="s">
        <v>571</v>
      </c>
      <c r="Q70" s="9" t="s">
        <v>572</v>
      </c>
    </row>
    <row r="71" spans="1:17" s="9" customFormat="1" x14ac:dyDescent="0.25">
      <c r="A71" s="9" t="s">
        <v>56</v>
      </c>
      <c r="B71" s="9" t="s">
        <v>57</v>
      </c>
      <c r="C71" s="9" t="s">
        <v>57</v>
      </c>
      <c r="D71" s="9" t="s">
        <v>55</v>
      </c>
      <c r="E71" s="9" t="s">
        <v>237</v>
      </c>
      <c r="F71" s="9" t="s">
        <v>3</v>
      </c>
      <c r="G71" s="9" t="s">
        <v>590</v>
      </c>
      <c r="H71" s="9" t="s">
        <v>928</v>
      </c>
      <c r="I71" s="9" t="s">
        <v>569</v>
      </c>
      <c r="J71" s="9" t="s">
        <v>569</v>
      </c>
      <c r="K71" s="9" t="s">
        <v>932</v>
      </c>
      <c r="L71" s="9" t="s">
        <v>117</v>
      </c>
      <c r="M71" s="9" t="s">
        <v>688</v>
      </c>
      <c r="N71" s="9" t="s">
        <v>872</v>
      </c>
      <c r="O71" s="9" t="s">
        <v>1000</v>
      </c>
      <c r="P71" s="9" t="s">
        <v>571</v>
      </c>
      <c r="Q71" s="9" t="s">
        <v>572</v>
      </c>
    </row>
    <row r="72" spans="1:17" s="9" customFormat="1" x14ac:dyDescent="0.25">
      <c r="A72" s="9" t="s">
        <v>116</v>
      </c>
      <c r="B72" s="9" t="s">
        <v>411</v>
      </c>
      <c r="C72" s="9" t="s">
        <v>118</v>
      </c>
      <c r="D72" s="9" t="s">
        <v>230</v>
      </c>
      <c r="E72" s="9" t="s">
        <v>251</v>
      </c>
      <c r="F72" s="9" t="s">
        <v>3</v>
      </c>
      <c r="G72" s="9" t="s">
        <v>568</v>
      </c>
      <c r="H72" s="9" t="s">
        <v>928</v>
      </c>
      <c r="I72" s="9" t="s">
        <v>569</v>
      </c>
      <c r="J72" s="9" t="s">
        <v>569</v>
      </c>
      <c r="K72" s="9" t="s">
        <v>932</v>
      </c>
      <c r="L72" s="9" t="s">
        <v>117</v>
      </c>
      <c r="M72" s="9" t="s">
        <v>736</v>
      </c>
      <c r="N72" s="9" t="s">
        <v>867</v>
      </c>
      <c r="O72" s="9" t="s">
        <v>1001</v>
      </c>
      <c r="P72" s="9" t="s">
        <v>571</v>
      </c>
      <c r="Q72" s="9" t="s">
        <v>572</v>
      </c>
    </row>
    <row r="73" spans="1:17" s="9" customFormat="1" x14ac:dyDescent="0.25">
      <c r="A73" s="9" t="s">
        <v>154</v>
      </c>
      <c r="B73" s="9" t="s">
        <v>104</v>
      </c>
      <c r="C73" s="9" t="s">
        <v>187</v>
      </c>
      <c r="D73" s="9" t="s">
        <v>288</v>
      </c>
      <c r="E73" s="9" t="s">
        <v>251</v>
      </c>
      <c r="F73" s="9" t="s">
        <v>3</v>
      </c>
      <c r="G73" s="9" t="s">
        <v>568</v>
      </c>
      <c r="H73" s="9" t="s">
        <v>928</v>
      </c>
      <c r="I73" s="9" t="s">
        <v>569</v>
      </c>
      <c r="J73" s="9" t="s">
        <v>569</v>
      </c>
      <c r="K73" s="9" t="s">
        <v>932</v>
      </c>
      <c r="L73" s="9" t="s">
        <v>117</v>
      </c>
      <c r="M73" s="9" t="s">
        <v>722</v>
      </c>
      <c r="N73" s="9" t="s">
        <v>882</v>
      </c>
      <c r="O73" s="9" t="s">
        <v>1002</v>
      </c>
      <c r="P73" s="9" t="s">
        <v>571</v>
      </c>
      <c r="Q73" s="9" t="s">
        <v>572</v>
      </c>
    </row>
    <row r="74" spans="1:17" s="9" customFormat="1" x14ac:dyDescent="0.25">
      <c r="A74" s="9" t="s">
        <v>165</v>
      </c>
      <c r="B74" s="9" t="s">
        <v>255</v>
      </c>
      <c r="C74" s="9" t="s">
        <v>166</v>
      </c>
      <c r="D74" s="9" t="s">
        <v>49</v>
      </c>
      <c r="E74" s="9" t="s">
        <v>256</v>
      </c>
      <c r="F74" s="9" t="s">
        <v>3</v>
      </c>
      <c r="G74" s="9" t="s">
        <v>590</v>
      </c>
      <c r="H74" s="9" t="s">
        <v>928</v>
      </c>
      <c r="I74" s="9" t="s">
        <v>569</v>
      </c>
      <c r="J74" s="9" t="s">
        <v>569</v>
      </c>
      <c r="K74" s="9" t="s">
        <v>932</v>
      </c>
      <c r="L74" s="9" t="s">
        <v>117</v>
      </c>
      <c r="M74" s="9" t="s">
        <v>706</v>
      </c>
      <c r="N74" s="9" t="s">
        <v>849</v>
      </c>
      <c r="O74" s="9" t="s">
        <v>1003</v>
      </c>
      <c r="P74" s="9" t="s">
        <v>571</v>
      </c>
      <c r="Q74" s="9" t="s">
        <v>572</v>
      </c>
    </row>
    <row r="75" spans="1:17" s="9" customFormat="1" x14ac:dyDescent="0.25">
      <c r="A75" s="9" t="s">
        <v>157</v>
      </c>
      <c r="B75" s="9" t="s">
        <v>6</v>
      </c>
      <c r="C75" s="9" t="s">
        <v>6</v>
      </c>
      <c r="D75" s="9" t="s">
        <v>222</v>
      </c>
      <c r="E75" s="9" t="s">
        <v>237</v>
      </c>
      <c r="F75" s="9" t="s">
        <v>3</v>
      </c>
      <c r="G75" s="9" t="s">
        <v>590</v>
      </c>
      <c r="H75" s="9" t="s">
        <v>928</v>
      </c>
      <c r="I75" s="9" t="s">
        <v>569</v>
      </c>
      <c r="J75" s="9" t="s">
        <v>569</v>
      </c>
      <c r="K75" s="9" t="s">
        <v>932</v>
      </c>
      <c r="L75" s="9" t="s">
        <v>117</v>
      </c>
      <c r="M75" s="9" t="s">
        <v>730</v>
      </c>
      <c r="N75" s="9" t="s">
        <v>871</v>
      </c>
      <c r="O75" s="9" t="s">
        <v>1004</v>
      </c>
      <c r="P75" s="9" t="s">
        <v>571</v>
      </c>
      <c r="Q75" s="9" t="s">
        <v>572</v>
      </c>
    </row>
    <row r="76" spans="1:17" s="9" customFormat="1" x14ac:dyDescent="0.25">
      <c r="A76" s="9" t="s">
        <v>24</v>
      </c>
      <c r="B76" s="9" t="s">
        <v>25</v>
      </c>
      <c r="C76" s="9" t="s">
        <v>25</v>
      </c>
      <c r="D76" s="9" t="s">
        <v>23</v>
      </c>
      <c r="E76" s="9" t="s">
        <v>246</v>
      </c>
      <c r="F76" s="9" t="s">
        <v>3</v>
      </c>
      <c r="G76" s="9" t="s">
        <v>568</v>
      </c>
      <c r="H76" s="9" t="s">
        <v>928</v>
      </c>
      <c r="I76" s="9" t="s">
        <v>569</v>
      </c>
      <c r="J76" s="9" t="s">
        <v>569</v>
      </c>
      <c r="K76" s="9" t="s">
        <v>932</v>
      </c>
      <c r="L76" s="9" t="s">
        <v>117</v>
      </c>
      <c r="M76" s="9" t="s">
        <v>745</v>
      </c>
      <c r="N76" s="9" t="s">
        <v>836</v>
      </c>
      <c r="O76" s="9" t="s">
        <v>1005</v>
      </c>
      <c r="P76" s="9" t="s">
        <v>571</v>
      </c>
      <c r="Q76" s="9" t="s">
        <v>572</v>
      </c>
    </row>
    <row r="77" spans="1:17" s="9" customFormat="1" x14ac:dyDescent="0.25">
      <c r="A77" s="9" t="s">
        <v>176</v>
      </c>
      <c r="B77" s="9" t="s">
        <v>177</v>
      </c>
      <c r="C77" s="9" t="s">
        <v>177</v>
      </c>
      <c r="D77" s="9" t="s">
        <v>178</v>
      </c>
      <c r="E77" s="9" t="s">
        <v>246</v>
      </c>
      <c r="F77" s="9" t="s">
        <v>3</v>
      </c>
      <c r="G77" s="9" t="s">
        <v>590</v>
      </c>
      <c r="H77" s="9" t="s">
        <v>928</v>
      </c>
      <c r="I77" s="9" t="s">
        <v>569</v>
      </c>
      <c r="J77" s="9" t="s">
        <v>569</v>
      </c>
      <c r="K77" s="9" t="s">
        <v>932</v>
      </c>
      <c r="L77" s="9" t="s">
        <v>117</v>
      </c>
      <c r="M77" s="9" t="s">
        <v>717</v>
      </c>
      <c r="N77" s="9" t="s">
        <v>824</v>
      </c>
      <c r="O77" s="9" t="s">
        <v>1006</v>
      </c>
      <c r="P77" s="9" t="s">
        <v>571</v>
      </c>
      <c r="Q77" s="9" t="s">
        <v>572</v>
      </c>
    </row>
    <row r="78" spans="1:17" s="9" customFormat="1" x14ac:dyDescent="0.25">
      <c r="A78" s="9" t="s">
        <v>147</v>
      </c>
      <c r="B78" s="9" t="s">
        <v>148</v>
      </c>
      <c r="C78" s="9" t="s">
        <v>148</v>
      </c>
      <c r="D78" s="9" t="s">
        <v>98</v>
      </c>
      <c r="E78" s="9" t="s">
        <v>237</v>
      </c>
      <c r="F78" s="9" t="s">
        <v>3</v>
      </c>
      <c r="G78" s="9" t="s">
        <v>590</v>
      </c>
      <c r="H78" s="9" t="s">
        <v>928</v>
      </c>
      <c r="I78" s="9" t="s">
        <v>569</v>
      </c>
      <c r="J78" s="9" t="s">
        <v>569</v>
      </c>
      <c r="K78" s="9" t="s">
        <v>932</v>
      </c>
      <c r="L78" s="9" t="s">
        <v>117</v>
      </c>
      <c r="M78" s="9" t="s">
        <v>702</v>
      </c>
      <c r="N78" s="9" t="s">
        <v>858</v>
      </c>
      <c r="O78" s="9" t="s">
        <v>1007</v>
      </c>
      <c r="P78" s="9" t="s">
        <v>571</v>
      </c>
      <c r="Q78" s="9" t="s">
        <v>572</v>
      </c>
    </row>
    <row r="79" spans="1:17" s="9" customFormat="1" x14ac:dyDescent="0.25">
      <c r="A79" s="9" t="s">
        <v>158</v>
      </c>
      <c r="B79" s="9" t="s">
        <v>19</v>
      </c>
      <c r="C79" s="9" t="s">
        <v>19</v>
      </c>
      <c r="D79" s="9" t="s">
        <v>18</v>
      </c>
      <c r="E79" s="9" t="s">
        <v>236</v>
      </c>
      <c r="F79" s="9" t="s">
        <v>3</v>
      </c>
      <c r="G79" s="9" t="s">
        <v>568</v>
      </c>
      <c r="H79" s="9" t="s">
        <v>928</v>
      </c>
      <c r="I79" s="9" t="s">
        <v>569</v>
      </c>
      <c r="J79" s="9" t="s">
        <v>569</v>
      </c>
      <c r="K79" s="9" t="s">
        <v>932</v>
      </c>
      <c r="L79" s="9" t="s">
        <v>117</v>
      </c>
      <c r="M79" s="9" t="s">
        <v>686</v>
      </c>
      <c r="N79" s="9" t="s">
        <v>841</v>
      </c>
      <c r="O79" s="9" t="s">
        <v>1008</v>
      </c>
      <c r="P79" s="9" t="s">
        <v>571</v>
      </c>
      <c r="Q79" s="9" t="s">
        <v>572</v>
      </c>
    </row>
    <row r="80" spans="1:17" s="9" customFormat="1" x14ac:dyDescent="0.25">
      <c r="A80" s="9" t="s">
        <v>320</v>
      </c>
      <c r="B80" s="9" t="s">
        <v>279</v>
      </c>
      <c r="C80" s="9" t="s">
        <v>321</v>
      </c>
      <c r="D80" s="9" t="s">
        <v>280</v>
      </c>
      <c r="E80" s="9" t="s">
        <v>239</v>
      </c>
      <c r="F80" s="9" t="s">
        <v>3</v>
      </c>
      <c r="G80" s="9" t="s">
        <v>568</v>
      </c>
      <c r="H80" s="9" t="s">
        <v>928</v>
      </c>
      <c r="I80" s="9" t="s">
        <v>569</v>
      </c>
      <c r="J80" s="9" t="s">
        <v>569</v>
      </c>
      <c r="K80" s="9" t="s">
        <v>932</v>
      </c>
      <c r="L80" s="9" t="s">
        <v>117</v>
      </c>
      <c r="M80" s="9" t="s">
        <v>733</v>
      </c>
      <c r="N80" s="9" t="s">
        <v>861</v>
      </c>
      <c r="O80" s="9" t="s">
        <v>1009</v>
      </c>
      <c r="P80" s="9" t="s">
        <v>571</v>
      </c>
      <c r="Q80" s="9" t="s">
        <v>572</v>
      </c>
    </row>
    <row r="81" spans="1:17" s="9" customFormat="1" x14ac:dyDescent="0.25">
      <c r="A81" s="9" t="s">
        <v>26</v>
      </c>
      <c r="B81" s="9" t="s">
        <v>279</v>
      </c>
      <c r="C81" s="9" t="s">
        <v>198</v>
      </c>
      <c r="D81" s="9" t="s">
        <v>280</v>
      </c>
      <c r="E81" s="9" t="s">
        <v>239</v>
      </c>
      <c r="F81" s="9" t="s">
        <v>3</v>
      </c>
      <c r="G81" s="9" t="s">
        <v>590</v>
      </c>
      <c r="H81" s="9" t="s">
        <v>928</v>
      </c>
      <c r="I81" s="9" t="s">
        <v>569</v>
      </c>
      <c r="J81" s="9" t="s">
        <v>569</v>
      </c>
      <c r="K81" s="9" t="s">
        <v>932</v>
      </c>
      <c r="L81" s="9" t="s">
        <v>117</v>
      </c>
      <c r="M81" s="9" t="s">
        <v>715</v>
      </c>
      <c r="N81" s="9" t="s">
        <v>832</v>
      </c>
      <c r="O81" s="9" t="s">
        <v>1010</v>
      </c>
      <c r="P81" s="9" t="s">
        <v>571</v>
      </c>
      <c r="Q81" s="9" t="s">
        <v>572</v>
      </c>
    </row>
    <row r="82" spans="1:17" s="9" customFormat="1" x14ac:dyDescent="0.25">
      <c r="A82" s="9" t="s">
        <v>395</v>
      </c>
      <c r="B82" s="9" t="s">
        <v>396</v>
      </c>
      <c r="C82" s="9" t="s">
        <v>396</v>
      </c>
      <c r="D82" s="9" t="s">
        <v>406</v>
      </c>
      <c r="E82" s="9" t="s">
        <v>242</v>
      </c>
      <c r="F82" s="9" t="s">
        <v>3</v>
      </c>
      <c r="G82" s="9" t="s">
        <v>568</v>
      </c>
      <c r="H82" s="9" t="s">
        <v>928</v>
      </c>
      <c r="I82" s="9" t="s">
        <v>569</v>
      </c>
      <c r="J82" s="9" t="s">
        <v>569</v>
      </c>
      <c r="K82" s="9" t="s">
        <v>932</v>
      </c>
      <c r="L82" s="9" t="s">
        <v>117</v>
      </c>
      <c r="M82" s="9" t="s">
        <v>703</v>
      </c>
      <c r="N82" s="9" t="s">
        <v>837</v>
      </c>
      <c r="O82" s="9" t="s">
        <v>1011</v>
      </c>
      <c r="P82" s="9" t="s">
        <v>571</v>
      </c>
      <c r="Q82" s="9" t="s">
        <v>572</v>
      </c>
    </row>
    <row r="83" spans="1:17" s="9" customFormat="1" x14ac:dyDescent="0.25">
      <c r="A83" s="9" t="s">
        <v>174</v>
      </c>
      <c r="B83" s="9" t="s">
        <v>244</v>
      </c>
      <c r="C83" s="9" t="s">
        <v>175</v>
      </c>
      <c r="D83" s="9" t="s">
        <v>64</v>
      </c>
      <c r="E83" s="9" t="s">
        <v>237</v>
      </c>
      <c r="F83" s="9" t="s">
        <v>3</v>
      </c>
      <c r="G83" s="9" t="s">
        <v>590</v>
      </c>
      <c r="H83" s="9" t="s">
        <v>928</v>
      </c>
      <c r="I83" s="9" t="s">
        <v>569</v>
      </c>
      <c r="J83" s="9" t="s">
        <v>569</v>
      </c>
      <c r="K83" s="9" t="s">
        <v>932</v>
      </c>
      <c r="L83" s="9" t="s">
        <v>117</v>
      </c>
      <c r="M83" s="9" t="s">
        <v>720</v>
      </c>
      <c r="N83" s="9" t="s">
        <v>883</v>
      </c>
      <c r="O83" s="9" t="s">
        <v>1012</v>
      </c>
      <c r="P83" s="9" t="s">
        <v>571</v>
      </c>
      <c r="Q83" s="9" t="s">
        <v>572</v>
      </c>
    </row>
    <row r="84" spans="1:17" s="9" customFormat="1" x14ac:dyDescent="0.25">
      <c r="A84" s="9" t="s">
        <v>45</v>
      </c>
      <c r="B84" s="9" t="s">
        <v>46</v>
      </c>
      <c r="C84" s="9" t="s">
        <v>46</v>
      </c>
      <c r="D84" s="9" t="s">
        <v>44</v>
      </c>
      <c r="E84" s="9" t="s">
        <v>248</v>
      </c>
      <c r="F84" s="9" t="s">
        <v>3</v>
      </c>
      <c r="G84" s="9" t="s">
        <v>590</v>
      </c>
      <c r="H84" s="9" t="s">
        <v>928</v>
      </c>
      <c r="I84" s="9" t="s">
        <v>569</v>
      </c>
      <c r="J84" s="9" t="s">
        <v>569</v>
      </c>
      <c r="K84" s="9" t="s">
        <v>932</v>
      </c>
      <c r="L84" s="9" t="s">
        <v>117</v>
      </c>
      <c r="M84" s="9" t="s">
        <v>726</v>
      </c>
      <c r="N84" s="9" t="s">
        <v>868</v>
      </c>
      <c r="O84" s="9" t="s">
        <v>1013</v>
      </c>
      <c r="P84" s="9" t="s">
        <v>571</v>
      </c>
      <c r="Q84" s="9" t="s">
        <v>572</v>
      </c>
    </row>
    <row r="85" spans="1:17" s="9" customFormat="1" x14ac:dyDescent="0.25">
      <c r="A85" s="9" t="s">
        <v>73</v>
      </c>
      <c r="B85" s="9" t="s">
        <v>74</v>
      </c>
      <c r="C85" s="9" t="s">
        <v>74</v>
      </c>
      <c r="D85" s="9" t="s">
        <v>219</v>
      </c>
      <c r="E85" s="9" t="s">
        <v>237</v>
      </c>
      <c r="F85" s="9" t="s">
        <v>3</v>
      </c>
      <c r="G85" s="9" t="s">
        <v>568</v>
      </c>
      <c r="H85" s="9" t="s">
        <v>928</v>
      </c>
      <c r="I85" s="9" t="s">
        <v>569</v>
      </c>
      <c r="J85" s="9" t="s">
        <v>569</v>
      </c>
      <c r="K85" s="9" t="s">
        <v>932</v>
      </c>
      <c r="L85" s="9" t="s">
        <v>117</v>
      </c>
      <c r="M85" s="9" t="s">
        <v>724</v>
      </c>
      <c r="N85" s="9" t="s">
        <v>884</v>
      </c>
      <c r="O85" s="9" t="s">
        <v>964</v>
      </c>
      <c r="P85" s="9" t="s">
        <v>571</v>
      </c>
      <c r="Q85" s="9" t="s">
        <v>572</v>
      </c>
    </row>
    <row r="86" spans="1:17" s="9" customFormat="1" x14ac:dyDescent="0.25">
      <c r="A86" s="9" t="s">
        <v>335</v>
      </c>
      <c r="B86" s="9" t="s">
        <v>336</v>
      </c>
      <c r="C86" s="9" t="s">
        <v>337</v>
      </c>
      <c r="D86" s="9" t="s">
        <v>338</v>
      </c>
      <c r="E86" s="9" t="s">
        <v>249</v>
      </c>
      <c r="F86" s="9" t="s">
        <v>3</v>
      </c>
      <c r="G86" s="9" t="s">
        <v>568</v>
      </c>
      <c r="H86" s="9" t="s">
        <v>928</v>
      </c>
      <c r="I86" s="9" t="s">
        <v>569</v>
      </c>
      <c r="J86" s="9" t="s">
        <v>569</v>
      </c>
      <c r="K86" s="9" t="s">
        <v>932</v>
      </c>
      <c r="L86" s="9" t="s">
        <v>117</v>
      </c>
      <c r="M86" s="9" t="s">
        <v>755</v>
      </c>
      <c r="N86" s="9" t="s">
        <v>885</v>
      </c>
      <c r="O86" s="9" t="s">
        <v>1014</v>
      </c>
      <c r="P86" s="9" t="s">
        <v>571</v>
      </c>
      <c r="Q86" s="9" t="s">
        <v>572</v>
      </c>
    </row>
    <row r="87" spans="1:17" s="9" customFormat="1" x14ac:dyDescent="0.25">
      <c r="A87" s="9" t="s">
        <v>179</v>
      </c>
      <c r="B87" s="9" t="s">
        <v>85</v>
      </c>
      <c r="C87" s="9" t="s">
        <v>85</v>
      </c>
      <c r="D87" s="9" t="s">
        <v>84</v>
      </c>
      <c r="E87" s="9" t="s">
        <v>246</v>
      </c>
      <c r="F87" s="9" t="s">
        <v>3</v>
      </c>
      <c r="G87" s="9" t="s">
        <v>590</v>
      </c>
      <c r="H87" s="9" t="s">
        <v>928</v>
      </c>
      <c r="I87" s="9" t="s">
        <v>569</v>
      </c>
      <c r="J87" s="9" t="s">
        <v>569</v>
      </c>
      <c r="K87" s="9" t="s">
        <v>932</v>
      </c>
      <c r="L87" s="9" t="s">
        <v>117</v>
      </c>
      <c r="M87" s="9" t="s">
        <v>721</v>
      </c>
      <c r="N87" s="9" t="s">
        <v>886</v>
      </c>
      <c r="O87" s="9" t="s">
        <v>1015</v>
      </c>
      <c r="P87" s="9" t="s">
        <v>571</v>
      </c>
      <c r="Q87" s="9" t="s">
        <v>572</v>
      </c>
    </row>
    <row r="88" spans="1:17" s="9" customFormat="1" x14ac:dyDescent="0.25">
      <c r="A88" s="9" t="s">
        <v>272</v>
      </c>
      <c r="B88" s="9" t="s">
        <v>273</v>
      </c>
      <c r="C88" s="9" t="s">
        <v>274</v>
      </c>
      <c r="D88" s="9" t="s">
        <v>357</v>
      </c>
      <c r="E88" s="9" t="s">
        <v>236</v>
      </c>
      <c r="F88" s="9" t="s">
        <v>3</v>
      </c>
      <c r="G88" s="9" t="s">
        <v>568</v>
      </c>
      <c r="H88" s="9" t="s">
        <v>928</v>
      </c>
      <c r="I88" s="9" t="s">
        <v>569</v>
      </c>
      <c r="J88" s="9" t="s">
        <v>569</v>
      </c>
      <c r="K88" s="9" t="s">
        <v>932</v>
      </c>
      <c r="L88" s="9" t="s">
        <v>117</v>
      </c>
      <c r="M88" s="9" t="s">
        <v>711</v>
      </c>
      <c r="N88" s="9" t="s">
        <v>846</v>
      </c>
      <c r="O88" s="9" t="s">
        <v>1016</v>
      </c>
      <c r="P88" s="9" t="s">
        <v>571</v>
      </c>
      <c r="Q88" s="9" t="s">
        <v>572</v>
      </c>
    </row>
    <row r="89" spans="1:17" s="9" customFormat="1" x14ac:dyDescent="0.25">
      <c r="A89" s="9" t="s">
        <v>231</v>
      </c>
      <c r="B89" s="9" t="s">
        <v>232</v>
      </c>
      <c r="C89" s="9" t="s">
        <v>232</v>
      </c>
      <c r="D89" s="9" t="s">
        <v>233</v>
      </c>
      <c r="E89" s="9" t="s">
        <v>250</v>
      </c>
      <c r="F89" s="9" t="s">
        <v>3</v>
      </c>
      <c r="G89" s="9" t="s">
        <v>590</v>
      </c>
      <c r="H89" s="9" t="s">
        <v>928</v>
      </c>
      <c r="I89" s="9" t="s">
        <v>569</v>
      </c>
      <c r="J89" s="9" t="s">
        <v>569</v>
      </c>
      <c r="K89" s="9" t="s">
        <v>932</v>
      </c>
      <c r="L89" s="9" t="s">
        <v>117</v>
      </c>
      <c r="M89" s="9" t="s">
        <v>754</v>
      </c>
      <c r="N89" s="9" t="s">
        <v>874</v>
      </c>
      <c r="O89" s="9" t="s">
        <v>1017</v>
      </c>
      <c r="P89" s="9" t="s">
        <v>571</v>
      </c>
      <c r="Q89" s="9" t="s">
        <v>572</v>
      </c>
    </row>
    <row r="90" spans="1:17" s="9" customFormat="1" x14ac:dyDescent="0.25">
      <c r="A90" s="9" t="s">
        <v>161</v>
      </c>
      <c r="B90" s="9" t="s">
        <v>39</v>
      </c>
      <c r="C90" s="9" t="s">
        <v>39</v>
      </c>
      <c r="D90" s="9" t="s">
        <v>38</v>
      </c>
      <c r="E90" s="9" t="s">
        <v>246</v>
      </c>
      <c r="F90" s="9" t="s">
        <v>3</v>
      </c>
      <c r="G90" s="9" t="s">
        <v>590</v>
      </c>
      <c r="H90" s="9" t="s">
        <v>928</v>
      </c>
      <c r="I90" s="9" t="s">
        <v>569</v>
      </c>
      <c r="J90" s="9" t="s">
        <v>569</v>
      </c>
      <c r="K90" s="9" t="s">
        <v>932</v>
      </c>
      <c r="L90" s="9" t="s">
        <v>117</v>
      </c>
      <c r="M90" s="9" t="s">
        <v>756</v>
      </c>
      <c r="N90" s="9" t="s">
        <v>888</v>
      </c>
      <c r="O90" s="9" t="s">
        <v>1018</v>
      </c>
      <c r="P90" s="9" t="s">
        <v>571</v>
      </c>
      <c r="Q90" s="9" t="s">
        <v>572</v>
      </c>
    </row>
    <row r="91" spans="1:17" s="9" customFormat="1" x14ac:dyDescent="0.25">
      <c r="A91" s="9" t="s">
        <v>143</v>
      </c>
      <c r="B91" s="9" t="s">
        <v>144</v>
      </c>
      <c r="C91" s="9" t="s">
        <v>144</v>
      </c>
      <c r="D91" s="9" t="s">
        <v>145</v>
      </c>
      <c r="E91" s="9" t="s">
        <v>246</v>
      </c>
      <c r="F91" s="9" t="s">
        <v>3</v>
      </c>
      <c r="G91" s="9" t="s">
        <v>590</v>
      </c>
      <c r="H91" s="9" t="s">
        <v>928</v>
      </c>
      <c r="I91" s="9" t="s">
        <v>569</v>
      </c>
      <c r="J91" s="9" t="s">
        <v>569</v>
      </c>
      <c r="K91" s="9" t="s">
        <v>932</v>
      </c>
      <c r="L91" s="9" t="s">
        <v>117</v>
      </c>
      <c r="M91" s="9" t="s">
        <v>737</v>
      </c>
      <c r="N91" s="9" t="s">
        <v>870</v>
      </c>
      <c r="O91" s="9" t="s">
        <v>1019</v>
      </c>
      <c r="P91" s="9" t="s">
        <v>571</v>
      </c>
      <c r="Q91" s="9" t="s">
        <v>572</v>
      </c>
    </row>
    <row r="92" spans="1:17" s="9" customFormat="1" x14ac:dyDescent="0.25">
      <c r="A92" s="9" t="s">
        <v>91</v>
      </c>
      <c r="B92" s="9" t="s">
        <v>253</v>
      </c>
      <c r="C92" s="9" t="s">
        <v>139</v>
      </c>
      <c r="D92" s="9" t="s">
        <v>90</v>
      </c>
      <c r="E92" s="9" t="s">
        <v>246</v>
      </c>
      <c r="F92" s="9" t="s">
        <v>3</v>
      </c>
      <c r="G92" s="9" t="s">
        <v>590</v>
      </c>
      <c r="H92" s="9" t="s">
        <v>928</v>
      </c>
      <c r="I92" s="9" t="s">
        <v>569</v>
      </c>
      <c r="J92" s="9" t="s">
        <v>569</v>
      </c>
      <c r="K92" s="9" t="s">
        <v>932</v>
      </c>
      <c r="L92" s="9" t="s">
        <v>117</v>
      </c>
      <c r="M92" s="9" t="s">
        <v>740</v>
      </c>
      <c r="N92" s="9" t="s">
        <v>881</v>
      </c>
      <c r="O92" s="9" t="s">
        <v>1020</v>
      </c>
      <c r="P92" s="9" t="s">
        <v>571</v>
      </c>
      <c r="Q92" s="9" t="s">
        <v>572</v>
      </c>
    </row>
    <row r="93" spans="1:17" s="9" customFormat="1" x14ac:dyDescent="0.25">
      <c r="A93" s="9" t="s">
        <v>100</v>
      </c>
      <c r="B93" s="9" t="s">
        <v>101</v>
      </c>
      <c r="C93" s="9" t="s">
        <v>101</v>
      </c>
      <c r="D93" s="9" t="s">
        <v>99</v>
      </c>
      <c r="E93" s="9" t="s">
        <v>237</v>
      </c>
      <c r="F93" s="9" t="s">
        <v>3</v>
      </c>
      <c r="G93" s="9" t="s">
        <v>590</v>
      </c>
      <c r="H93" s="9" t="s">
        <v>928</v>
      </c>
      <c r="I93" s="9" t="s">
        <v>569</v>
      </c>
      <c r="J93" s="9" t="s">
        <v>569</v>
      </c>
      <c r="K93" s="9" t="s">
        <v>932</v>
      </c>
      <c r="L93" s="9" t="s">
        <v>117</v>
      </c>
      <c r="M93" s="9" t="s">
        <v>723</v>
      </c>
      <c r="N93" s="9" t="s">
        <v>880</v>
      </c>
      <c r="O93" s="9" t="s">
        <v>1021</v>
      </c>
      <c r="P93" s="9" t="s">
        <v>571</v>
      </c>
      <c r="Q93" s="9" t="s">
        <v>572</v>
      </c>
    </row>
    <row r="94" spans="1:17" s="9" customFormat="1" x14ac:dyDescent="0.25">
      <c r="A94" s="9" t="s">
        <v>95</v>
      </c>
      <c r="B94" s="9" t="s">
        <v>96</v>
      </c>
      <c r="C94" s="9" t="s">
        <v>163</v>
      </c>
      <c r="D94" s="9" t="s">
        <v>313</v>
      </c>
      <c r="E94" s="9" t="s">
        <v>246</v>
      </c>
      <c r="F94" s="9" t="s">
        <v>3</v>
      </c>
      <c r="G94" s="9" t="s">
        <v>568</v>
      </c>
      <c r="H94" s="9" t="s">
        <v>928</v>
      </c>
      <c r="I94" s="9" t="s">
        <v>569</v>
      </c>
      <c r="J94" s="9" t="s">
        <v>569</v>
      </c>
      <c r="K94" s="9" t="s">
        <v>932</v>
      </c>
      <c r="L94" s="9" t="s">
        <v>117</v>
      </c>
      <c r="M94" s="9" t="s">
        <v>748</v>
      </c>
      <c r="N94" s="9" t="s">
        <v>838</v>
      </c>
      <c r="O94" s="9" t="s">
        <v>1022</v>
      </c>
      <c r="P94" s="9" t="s">
        <v>571</v>
      </c>
      <c r="Q94" s="9" t="s">
        <v>572</v>
      </c>
    </row>
    <row r="95" spans="1:17" s="9" customFormat="1" x14ac:dyDescent="0.25">
      <c r="A95" s="9" t="s">
        <v>171</v>
      </c>
      <c r="B95" s="9" t="s">
        <v>5</v>
      </c>
      <c r="C95" s="9" t="s">
        <v>5</v>
      </c>
      <c r="D95" s="9" t="s">
        <v>172</v>
      </c>
      <c r="E95" s="9" t="s">
        <v>239</v>
      </c>
      <c r="F95" s="9" t="s">
        <v>3</v>
      </c>
      <c r="G95" s="9" t="s">
        <v>590</v>
      </c>
      <c r="H95" s="9" t="s">
        <v>928</v>
      </c>
      <c r="I95" s="9" t="s">
        <v>569</v>
      </c>
      <c r="J95" s="9" t="s">
        <v>569</v>
      </c>
      <c r="K95" s="9" t="s">
        <v>932</v>
      </c>
      <c r="L95" s="9" t="s">
        <v>117</v>
      </c>
      <c r="M95" s="9" t="s">
        <v>742</v>
      </c>
      <c r="N95" s="9" t="s">
        <v>873</v>
      </c>
      <c r="O95" s="9" t="s">
        <v>1023</v>
      </c>
      <c r="P95" s="9" t="s">
        <v>571</v>
      </c>
      <c r="Q95" s="9" t="s">
        <v>572</v>
      </c>
    </row>
    <row r="96" spans="1:17" s="9" customFormat="1" x14ac:dyDescent="0.25">
      <c r="A96" s="9" t="s">
        <v>80</v>
      </c>
      <c r="B96" s="9" t="s">
        <v>414</v>
      </c>
      <c r="C96" s="9" t="s">
        <v>200</v>
      </c>
      <c r="D96" s="9" t="s">
        <v>295</v>
      </c>
      <c r="E96" s="9" t="s">
        <v>237</v>
      </c>
      <c r="F96" s="9" t="s">
        <v>3</v>
      </c>
      <c r="G96" s="9" t="s">
        <v>568</v>
      </c>
      <c r="H96" s="9" t="s">
        <v>928</v>
      </c>
      <c r="I96" s="9" t="s">
        <v>569</v>
      </c>
      <c r="J96" s="9" t="s">
        <v>569</v>
      </c>
      <c r="K96" s="9" t="s">
        <v>932</v>
      </c>
      <c r="L96" s="9" t="s">
        <v>117</v>
      </c>
      <c r="M96" s="9" t="s">
        <v>747</v>
      </c>
      <c r="N96" s="9" t="s">
        <v>892</v>
      </c>
      <c r="O96" s="9" t="s">
        <v>1024</v>
      </c>
      <c r="P96" s="9" t="s">
        <v>571</v>
      </c>
      <c r="Q96" s="9" t="s">
        <v>572</v>
      </c>
    </row>
    <row r="97" spans="1:17" s="9" customFormat="1" x14ac:dyDescent="0.25">
      <c r="A97" s="9" t="s">
        <v>560</v>
      </c>
      <c r="B97" s="9" t="s">
        <v>562</v>
      </c>
      <c r="C97" s="9" t="s">
        <v>562</v>
      </c>
      <c r="D97" s="9" t="s">
        <v>561</v>
      </c>
      <c r="E97" s="9" t="s">
        <v>242</v>
      </c>
      <c r="F97" s="9" t="s">
        <v>3</v>
      </c>
      <c r="G97" s="9" t="s">
        <v>568</v>
      </c>
      <c r="H97" s="9" t="s">
        <v>928</v>
      </c>
      <c r="I97" s="9" t="s">
        <v>569</v>
      </c>
      <c r="J97" s="9" t="s">
        <v>569</v>
      </c>
      <c r="K97" s="9" t="s">
        <v>932</v>
      </c>
      <c r="L97" s="9" t="s">
        <v>117</v>
      </c>
      <c r="M97" s="9" t="s">
        <v>753</v>
      </c>
      <c r="N97" s="9" t="s">
        <v>887</v>
      </c>
      <c r="O97" s="9" t="s">
        <v>1025</v>
      </c>
      <c r="P97" s="9" t="s">
        <v>571</v>
      </c>
      <c r="Q97" s="9" t="s">
        <v>572</v>
      </c>
    </row>
    <row r="98" spans="1:17" s="9" customFormat="1" x14ac:dyDescent="0.25">
      <c r="A98" s="9" t="s">
        <v>591</v>
      </c>
      <c r="B98" s="9" t="s">
        <v>592</v>
      </c>
      <c r="C98" s="9" t="s">
        <v>592</v>
      </c>
      <c r="D98" s="9" t="s">
        <v>593</v>
      </c>
      <c r="E98" s="9" t="s">
        <v>246</v>
      </c>
      <c r="F98" s="9" t="s">
        <v>3</v>
      </c>
      <c r="G98" s="9" t="s">
        <v>568</v>
      </c>
      <c r="H98" s="9" t="s">
        <v>928</v>
      </c>
      <c r="I98" s="9" t="s">
        <v>569</v>
      </c>
      <c r="J98" s="9" t="s">
        <v>569</v>
      </c>
      <c r="K98" s="9" t="s">
        <v>932</v>
      </c>
      <c r="L98" s="9" t="s">
        <v>117</v>
      </c>
      <c r="M98" s="9" t="s">
        <v>749</v>
      </c>
      <c r="N98" s="9" t="s">
        <v>814</v>
      </c>
      <c r="O98" s="9" t="s">
        <v>1026</v>
      </c>
      <c r="P98" s="9" t="s">
        <v>571</v>
      </c>
      <c r="Q98" s="9" t="s">
        <v>572</v>
      </c>
    </row>
    <row r="99" spans="1:17" s="9" customFormat="1" x14ac:dyDescent="0.25">
      <c r="A99" s="9" t="s">
        <v>637</v>
      </c>
      <c r="B99" s="9" t="s">
        <v>638</v>
      </c>
      <c r="C99" s="9" t="s">
        <v>638</v>
      </c>
      <c r="D99" s="9" t="s">
        <v>639</v>
      </c>
      <c r="E99" s="9" t="s">
        <v>237</v>
      </c>
      <c r="F99" s="9" t="s">
        <v>3</v>
      </c>
      <c r="G99" s="9" t="s">
        <v>568</v>
      </c>
      <c r="H99" s="9" t="s">
        <v>928</v>
      </c>
      <c r="I99" s="9" t="s">
        <v>569</v>
      </c>
      <c r="J99" s="9" t="s">
        <v>569</v>
      </c>
      <c r="K99" s="9" t="s">
        <v>932</v>
      </c>
      <c r="L99" s="9" t="s">
        <v>117</v>
      </c>
      <c r="M99" s="9" t="s">
        <v>750</v>
      </c>
      <c r="N99" s="9" t="s">
        <v>876</v>
      </c>
      <c r="O99" s="9" t="s">
        <v>1027</v>
      </c>
      <c r="P99" s="9" t="s">
        <v>571</v>
      </c>
      <c r="Q99" s="9" t="s">
        <v>572</v>
      </c>
    </row>
    <row r="100" spans="1:17" s="9" customFormat="1" x14ac:dyDescent="0.25">
      <c r="A100" s="9" t="s">
        <v>597</v>
      </c>
      <c r="B100" s="9" t="s">
        <v>598</v>
      </c>
      <c r="C100" s="9" t="s">
        <v>598</v>
      </c>
      <c r="D100" s="9" t="s">
        <v>599</v>
      </c>
      <c r="E100" s="9" t="s">
        <v>242</v>
      </c>
      <c r="F100" s="9" t="s">
        <v>3</v>
      </c>
      <c r="G100" s="9" t="s">
        <v>568</v>
      </c>
      <c r="H100" s="9" t="s">
        <v>928</v>
      </c>
      <c r="I100" s="9" t="s">
        <v>569</v>
      </c>
      <c r="J100" s="9" t="s">
        <v>569</v>
      </c>
      <c r="K100" s="9" t="s">
        <v>932</v>
      </c>
      <c r="L100" s="9" t="s">
        <v>117</v>
      </c>
      <c r="M100" s="9" t="s">
        <v>664</v>
      </c>
      <c r="N100" s="9" t="s">
        <v>813</v>
      </c>
      <c r="O100" s="9" t="s">
        <v>1028</v>
      </c>
      <c r="P100" s="9" t="s">
        <v>571</v>
      </c>
      <c r="Q100" s="9" t="s">
        <v>572</v>
      </c>
    </row>
    <row r="101" spans="1:17" s="9" customFormat="1" x14ac:dyDescent="0.25">
      <c r="A101" s="9" t="s">
        <v>289</v>
      </c>
      <c r="B101" s="9" t="s">
        <v>301</v>
      </c>
      <c r="C101" s="9" t="s">
        <v>293</v>
      </c>
      <c r="D101" s="9" t="s">
        <v>294</v>
      </c>
      <c r="E101" s="9" t="s">
        <v>251</v>
      </c>
      <c r="F101" s="9" t="s">
        <v>3</v>
      </c>
      <c r="G101" s="9" t="s">
        <v>568</v>
      </c>
      <c r="H101" s="9" t="s">
        <v>928</v>
      </c>
      <c r="I101" s="9" t="s">
        <v>569</v>
      </c>
      <c r="J101" s="9" t="s">
        <v>569</v>
      </c>
      <c r="K101" s="9" t="s">
        <v>932</v>
      </c>
      <c r="L101" s="9" t="s">
        <v>117</v>
      </c>
      <c r="M101" s="9" t="s">
        <v>731</v>
      </c>
      <c r="N101" s="9" t="s">
        <v>877</v>
      </c>
      <c r="O101" s="9" t="s">
        <v>1029</v>
      </c>
      <c r="P101" s="9" t="s">
        <v>571</v>
      </c>
      <c r="Q101" s="9" t="s">
        <v>572</v>
      </c>
    </row>
    <row r="102" spans="1:17" s="9" customFormat="1" x14ac:dyDescent="0.25">
      <c r="A102" s="9" t="s">
        <v>384</v>
      </c>
      <c r="B102" s="9" t="s">
        <v>385</v>
      </c>
      <c r="C102" s="9" t="s">
        <v>386</v>
      </c>
      <c r="D102" s="9" t="s">
        <v>387</v>
      </c>
      <c r="E102" s="9" t="s">
        <v>237</v>
      </c>
      <c r="F102" s="9" t="s">
        <v>3</v>
      </c>
      <c r="G102" s="9" t="s">
        <v>568</v>
      </c>
      <c r="H102" s="9" t="s">
        <v>928</v>
      </c>
      <c r="I102" s="9" t="s">
        <v>569</v>
      </c>
      <c r="J102" s="9" t="s">
        <v>569</v>
      </c>
      <c r="K102" s="9" t="s">
        <v>932</v>
      </c>
      <c r="L102" s="9" t="s">
        <v>117</v>
      </c>
      <c r="M102" s="9" t="s">
        <v>752</v>
      </c>
      <c r="N102" s="9" t="s">
        <v>893</v>
      </c>
      <c r="O102" s="9" t="s">
        <v>1030</v>
      </c>
      <c r="P102" s="9" t="s">
        <v>571</v>
      </c>
      <c r="Q102" s="9" t="s">
        <v>572</v>
      </c>
    </row>
    <row r="103" spans="1:17" s="9" customFormat="1" x14ac:dyDescent="0.25">
      <c r="A103" s="9" t="s">
        <v>426</v>
      </c>
      <c r="B103" s="9" t="s">
        <v>427</v>
      </c>
      <c r="C103" s="9" t="s">
        <v>428</v>
      </c>
      <c r="D103" s="9" t="s">
        <v>429</v>
      </c>
      <c r="E103" s="9" t="s">
        <v>237</v>
      </c>
      <c r="F103" s="9" t="s">
        <v>3</v>
      </c>
      <c r="G103" s="9" t="s">
        <v>568</v>
      </c>
      <c r="H103" s="9" t="s">
        <v>928</v>
      </c>
      <c r="I103" s="9" t="s">
        <v>569</v>
      </c>
      <c r="J103" s="9" t="s">
        <v>569</v>
      </c>
      <c r="K103" s="9" t="s">
        <v>932</v>
      </c>
      <c r="L103" s="9" t="s">
        <v>307</v>
      </c>
      <c r="M103" s="9" t="s">
        <v>731</v>
      </c>
      <c r="N103" s="9" t="s">
        <v>895</v>
      </c>
      <c r="O103" s="9" t="s">
        <v>1031</v>
      </c>
      <c r="P103" s="9" t="s">
        <v>571</v>
      </c>
      <c r="Q103" s="9" t="s">
        <v>572</v>
      </c>
    </row>
    <row r="104" spans="1:17" s="9" customFormat="1" x14ac:dyDescent="0.25">
      <c r="A104" s="9" t="s">
        <v>454</v>
      </c>
      <c r="B104" s="9" t="s">
        <v>455</v>
      </c>
      <c r="C104" s="9" t="s">
        <v>455</v>
      </c>
      <c r="D104" s="9" t="s">
        <v>456</v>
      </c>
      <c r="E104" s="9" t="s">
        <v>237</v>
      </c>
      <c r="F104" s="9" t="s">
        <v>3</v>
      </c>
      <c r="G104" s="9" t="s">
        <v>568</v>
      </c>
      <c r="H104" s="9" t="s">
        <v>928</v>
      </c>
      <c r="I104" s="9" t="s">
        <v>569</v>
      </c>
      <c r="J104" s="9" t="s">
        <v>569</v>
      </c>
      <c r="K104" s="9" t="s">
        <v>932</v>
      </c>
      <c r="L104" s="9" t="s">
        <v>307</v>
      </c>
      <c r="M104" s="9" t="s">
        <v>764</v>
      </c>
      <c r="N104" s="9" t="s">
        <v>839</v>
      </c>
      <c r="O104" s="9" t="s">
        <v>1032</v>
      </c>
      <c r="P104" s="9" t="s">
        <v>571</v>
      </c>
      <c r="Q104" s="9" t="s">
        <v>572</v>
      </c>
    </row>
    <row r="105" spans="1:17" s="9" customFormat="1" x14ac:dyDescent="0.25">
      <c r="A105" s="9" t="s">
        <v>459</v>
      </c>
      <c r="B105" s="9" t="s">
        <v>460</v>
      </c>
      <c r="C105" s="9" t="s">
        <v>460</v>
      </c>
      <c r="D105" s="9" t="s">
        <v>461</v>
      </c>
      <c r="E105" s="9" t="s">
        <v>462</v>
      </c>
      <c r="F105" s="9" t="s">
        <v>3</v>
      </c>
      <c r="G105" s="9" t="s">
        <v>568</v>
      </c>
      <c r="H105" s="9" t="s">
        <v>928</v>
      </c>
      <c r="I105" s="9" t="s">
        <v>569</v>
      </c>
      <c r="J105" s="9" t="s">
        <v>569</v>
      </c>
      <c r="K105" s="9" t="s">
        <v>932</v>
      </c>
      <c r="L105" s="9" t="s">
        <v>307</v>
      </c>
      <c r="M105" s="9" t="s">
        <v>765</v>
      </c>
      <c r="N105" s="9" t="s">
        <v>896</v>
      </c>
      <c r="O105" s="9" t="s">
        <v>1033</v>
      </c>
      <c r="P105" s="9" t="s">
        <v>571</v>
      </c>
      <c r="Q105" s="9" t="s">
        <v>572</v>
      </c>
    </row>
    <row r="106" spans="1:17" s="9" customFormat="1" x14ac:dyDescent="0.25">
      <c r="A106" s="9" t="s">
        <v>503</v>
      </c>
      <c r="B106" s="9" t="s">
        <v>504</v>
      </c>
      <c r="C106" s="9" t="s">
        <v>505</v>
      </c>
      <c r="D106" s="9" t="s">
        <v>506</v>
      </c>
      <c r="E106" s="9" t="s">
        <v>237</v>
      </c>
      <c r="F106" s="9" t="s">
        <v>3</v>
      </c>
      <c r="G106" s="9" t="s">
        <v>568</v>
      </c>
      <c r="H106" s="9" t="s">
        <v>928</v>
      </c>
      <c r="I106" s="9" t="s">
        <v>569</v>
      </c>
      <c r="J106" s="9" t="s">
        <v>569</v>
      </c>
      <c r="K106" s="9" t="s">
        <v>932</v>
      </c>
      <c r="L106" s="9" t="s">
        <v>307</v>
      </c>
      <c r="M106" s="9" t="s">
        <v>768</v>
      </c>
      <c r="N106" s="9" t="s">
        <v>923</v>
      </c>
      <c r="O106" s="9" t="s">
        <v>1034</v>
      </c>
      <c r="P106" s="9" t="s">
        <v>571</v>
      </c>
      <c r="Q106" s="9" t="s">
        <v>572</v>
      </c>
    </row>
    <row r="107" spans="1:17" s="9" customFormat="1" x14ac:dyDescent="0.25">
      <c r="A107" s="9" t="s">
        <v>536</v>
      </c>
      <c r="B107" s="9" t="s">
        <v>537</v>
      </c>
      <c r="C107" s="9" t="s">
        <v>537</v>
      </c>
      <c r="D107" s="9" t="s">
        <v>538</v>
      </c>
      <c r="E107" s="9" t="s">
        <v>237</v>
      </c>
      <c r="F107" s="9" t="s">
        <v>3</v>
      </c>
      <c r="G107" s="9" t="s">
        <v>568</v>
      </c>
      <c r="H107" s="9" t="s">
        <v>928</v>
      </c>
      <c r="I107" s="9" t="s">
        <v>569</v>
      </c>
      <c r="J107" s="9" t="s">
        <v>569</v>
      </c>
      <c r="K107" s="9" t="s">
        <v>932</v>
      </c>
      <c r="L107" s="9" t="s">
        <v>307</v>
      </c>
      <c r="M107" s="9" t="s">
        <v>769</v>
      </c>
      <c r="N107" s="9" t="s">
        <v>921</v>
      </c>
      <c r="O107" s="9" t="s">
        <v>1035</v>
      </c>
      <c r="P107" s="9" t="s">
        <v>571</v>
      </c>
      <c r="Q107" s="9" t="s">
        <v>572</v>
      </c>
    </row>
    <row r="108" spans="1:17" s="9" customFormat="1" x14ac:dyDescent="0.25">
      <c r="A108" s="9" t="s">
        <v>512</v>
      </c>
      <c r="B108" s="9" t="s">
        <v>513</v>
      </c>
      <c r="C108" s="9" t="s">
        <v>513</v>
      </c>
      <c r="D108" s="9" t="s">
        <v>514</v>
      </c>
      <c r="E108" s="9" t="s">
        <v>241</v>
      </c>
      <c r="F108" s="9" t="s">
        <v>3</v>
      </c>
      <c r="G108" s="9" t="s">
        <v>568</v>
      </c>
      <c r="H108" s="9" t="s">
        <v>928</v>
      </c>
      <c r="I108" s="9" t="s">
        <v>569</v>
      </c>
      <c r="J108" s="9" t="s">
        <v>569</v>
      </c>
      <c r="K108" s="9" t="s">
        <v>932</v>
      </c>
      <c r="L108" s="9" t="s">
        <v>307</v>
      </c>
      <c r="M108" s="9" t="s">
        <v>790</v>
      </c>
      <c r="N108" s="9" t="s">
        <v>924</v>
      </c>
      <c r="O108" s="9" t="s">
        <v>1036</v>
      </c>
      <c r="P108" s="9" t="s">
        <v>571</v>
      </c>
      <c r="Q108" s="9" t="s">
        <v>572</v>
      </c>
    </row>
    <row r="109" spans="1:17" s="9" customFormat="1" x14ac:dyDescent="0.25">
      <c r="A109" s="9" t="s">
        <v>563</v>
      </c>
      <c r="B109" s="9" t="s">
        <v>564</v>
      </c>
      <c r="C109" s="9" t="s">
        <v>564</v>
      </c>
      <c r="D109" s="9" t="s">
        <v>565</v>
      </c>
      <c r="E109" s="9" t="s">
        <v>242</v>
      </c>
      <c r="F109" s="9" t="s">
        <v>3</v>
      </c>
      <c r="G109" s="9" t="s">
        <v>568</v>
      </c>
      <c r="H109" s="9" t="s">
        <v>928</v>
      </c>
      <c r="I109" s="9" t="s">
        <v>569</v>
      </c>
      <c r="J109" s="9" t="s">
        <v>569</v>
      </c>
      <c r="K109" s="9" t="s">
        <v>932</v>
      </c>
      <c r="L109" s="9" t="s">
        <v>307</v>
      </c>
      <c r="M109" s="9" t="s">
        <v>789</v>
      </c>
      <c r="N109" s="9" t="s">
        <v>899</v>
      </c>
      <c r="O109" s="9" t="s">
        <v>1037</v>
      </c>
      <c r="P109" s="9" t="s">
        <v>571</v>
      </c>
      <c r="Q109" s="9" t="s">
        <v>572</v>
      </c>
    </row>
    <row r="110" spans="1:17" s="9" customFormat="1" x14ac:dyDescent="0.25">
      <c r="A110" s="9" t="s">
        <v>602</v>
      </c>
      <c r="B110" s="9" t="s">
        <v>604</v>
      </c>
      <c r="C110" s="9" t="s">
        <v>604</v>
      </c>
      <c r="D110" s="9" t="s">
        <v>603</v>
      </c>
      <c r="E110" s="9" t="s">
        <v>241</v>
      </c>
      <c r="F110" s="9" t="s">
        <v>3</v>
      </c>
      <c r="G110" s="9" t="s">
        <v>568</v>
      </c>
      <c r="H110" s="9" t="s">
        <v>928</v>
      </c>
      <c r="I110" s="9" t="s">
        <v>569</v>
      </c>
      <c r="J110" s="9" t="s">
        <v>569</v>
      </c>
      <c r="K110" s="9" t="s">
        <v>932</v>
      </c>
      <c r="L110" s="9" t="s">
        <v>307</v>
      </c>
      <c r="M110" s="9" t="s">
        <v>758</v>
      </c>
      <c r="N110" s="9" t="s">
        <v>901</v>
      </c>
      <c r="O110" s="9" t="s">
        <v>1038</v>
      </c>
      <c r="P110" s="9" t="s">
        <v>571</v>
      </c>
      <c r="Q110" s="9" t="s">
        <v>572</v>
      </c>
    </row>
    <row r="111" spans="1:17" s="9" customFormat="1" x14ac:dyDescent="0.25">
      <c r="A111" s="9" t="s">
        <v>613</v>
      </c>
      <c r="B111" s="9" t="s">
        <v>615</v>
      </c>
      <c r="C111" s="9" t="s">
        <v>615</v>
      </c>
      <c r="D111" s="9" t="s">
        <v>614</v>
      </c>
      <c r="E111" s="9" t="s">
        <v>237</v>
      </c>
      <c r="F111" s="9" t="s">
        <v>3</v>
      </c>
      <c r="G111" s="9" t="s">
        <v>568</v>
      </c>
      <c r="H111" s="9" t="s">
        <v>928</v>
      </c>
      <c r="I111" s="9" t="s">
        <v>569</v>
      </c>
      <c r="J111" s="9" t="s">
        <v>569</v>
      </c>
      <c r="K111" s="9" t="s">
        <v>932</v>
      </c>
      <c r="L111" s="9" t="s">
        <v>307</v>
      </c>
      <c r="M111" s="9" t="s">
        <v>759</v>
      </c>
      <c r="N111" s="9" t="s">
        <v>902</v>
      </c>
      <c r="O111" s="9" t="s">
        <v>1039</v>
      </c>
      <c r="P111" s="9" t="s">
        <v>571</v>
      </c>
      <c r="Q111" s="9" t="s">
        <v>572</v>
      </c>
    </row>
    <row r="112" spans="1:17" s="9" customFormat="1" x14ac:dyDescent="0.25">
      <c r="A112" s="9" t="s">
        <v>617</v>
      </c>
      <c r="B112" s="9" t="s">
        <v>618</v>
      </c>
      <c r="C112" s="9" t="s">
        <v>618</v>
      </c>
      <c r="D112" s="9" t="s">
        <v>619</v>
      </c>
      <c r="E112" s="9" t="s">
        <v>237</v>
      </c>
      <c r="F112" s="9" t="s">
        <v>3</v>
      </c>
      <c r="G112" s="9" t="s">
        <v>568</v>
      </c>
      <c r="H112" s="9" t="s">
        <v>928</v>
      </c>
      <c r="I112" s="9" t="s">
        <v>569</v>
      </c>
      <c r="J112" s="9" t="s">
        <v>569</v>
      </c>
      <c r="K112" s="9" t="s">
        <v>932</v>
      </c>
      <c r="L112" s="9" t="s">
        <v>307</v>
      </c>
      <c r="M112" s="9" t="s">
        <v>760</v>
      </c>
      <c r="N112" s="9" t="s">
        <v>903</v>
      </c>
      <c r="O112" s="9" t="s">
        <v>1040</v>
      </c>
      <c r="P112" s="9" t="s">
        <v>571</v>
      </c>
      <c r="Q112" s="9" t="s">
        <v>572</v>
      </c>
    </row>
    <row r="113" spans="1:17" s="9" customFormat="1" x14ac:dyDescent="0.25">
      <c r="A113" s="9" t="s">
        <v>622</v>
      </c>
      <c r="B113" s="9" t="s">
        <v>623</v>
      </c>
      <c r="C113" s="9" t="s">
        <v>623</v>
      </c>
      <c r="D113" s="9" t="s">
        <v>624</v>
      </c>
      <c r="E113" s="9" t="s">
        <v>241</v>
      </c>
      <c r="F113" s="9" t="s">
        <v>3</v>
      </c>
      <c r="G113" s="9" t="s">
        <v>568</v>
      </c>
      <c r="H113" s="9" t="s">
        <v>928</v>
      </c>
      <c r="I113" s="9" t="s">
        <v>569</v>
      </c>
      <c r="J113" s="9" t="s">
        <v>569</v>
      </c>
      <c r="K113" s="9" t="s">
        <v>932</v>
      </c>
      <c r="L113" s="9" t="s">
        <v>307</v>
      </c>
      <c r="M113" s="9" t="s">
        <v>761</v>
      </c>
      <c r="N113" s="9" t="s">
        <v>904</v>
      </c>
      <c r="O113" s="9" t="s">
        <v>1041</v>
      </c>
      <c r="P113" s="9" t="s">
        <v>571</v>
      </c>
      <c r="Q113" s="9" t="s">
        <v>572</v>
      </c>
    </row>
    <row r="114" spans="1:17" s="9" customFormat="1" x14ac:dyDescent="0.25">
      <c r="A114" s="9" t="s">
        <v>594</v>
      </c>
      <c r="B114" s="9" t="s">
        <v>595</v>
      </c>
      <c r="C114" s="9" t="s">
        <v>595</v>
      </c>
      <c r="D114" s="9" t="s">
        <v>596</v>
      </c>
      <c r="E114" s="9" t="s">
        <v>237</v>
      </c>
      <c r="F114" s="9" t="s">
        <v>3</v>
      </c>
      <c r="G114" s="9" t="s">
        <v>568</v>
      </c>
      <c r="H114" s="9" t="s">
        <v>928</v>
      </c>
      <c r="I114" s="9" t="s">
        <v>569</v>
      </c>
      <c r="J114" s="9" t="s">
        <v>569</v>
      </c>
      <c r="K114" s="9" t="s">
        <v>932</v>
      </c>
      <c r="L114" s="9" t="s">
        <v>307</v>
      </c>
      <c r="M114" s="9" t="s">
        <v>762</v>
      </c>
      <c r="N114" s="9" t="s">
        <v>905</v>
      </c>
      <c r="O114" s="9" t="s">
        <v>1042</v>
      </c>
      <c r="P114" s="9" t="s">
        <v>571</v>
      </c>
      <c r="Q114" s="9" t="s">
        <v>572</v>
      </c>
    </row>
    <row r="115" spans="1:17" s="9" customFormat="1" x14ac:dyDescent="0.25">
      <c r="A115" s="9" t="s">
        <v>374</v>
      </c>
      <c r="B115" s="9" t="s">
        <v>375</v>
      </c>
      <c r="C115" s="9" t="s">
        <v>375</v>
      </c>
      <c r="D115" s="9" t="s">
        <v>376</v>
      </c>
      <c r="E115" s="9" t="s">
        <v>246</v>
      </c>
      <c r="F115" s="9" t="s">
        <v>3</v>
      </c>
      <c r="G115" s="9" t="s">
        <v>590</v>
      </c>
      <c r="H115" s="9" t="s">
        <v>928</v>
      </c>
      <c r="I115" s="9" t="s">
        <v>569</v>
      </c>
      <c r="J115" s="9" t="s">
        <v>569</v>
      </c>
      <c r="K115" s="9" t="s">
        <v>932</v>
      </c>
      <c r="L115" s="9" t="s">
        <v>307</v>
      </c>
      <c r="M115" s="9" t="s">
        <v>773</v>
      </c>
      <c r="N115" s="9" t="s">
        <v>917</v>
      </c>
      <c r="O115" s="9" t="s">
        <v>1043</v>
      </c>
      <c r="P115" s="9" t="s">
        <v>571</v>
      </c>
      <c r="Q115" s="9" t="s">
        <v>572</v>
      </c>
    </row>
    <row r="116" spans="1:17" s="9" customFormat="1" x14ac:dyDescent="0.25">
      <c r="A116" s="9" t="s">
        <v>152</v>
      </c>
      <c r="B116" s="9" t="s">
        <v>202</v>
      </c>
      <c r="C116" s="9" t="s">
        <v>202</v>
      </c>
      <c r="D116" s="9" t="s">
        <v>42</v>
      </c>
      <c r="E116" s="9" t="s">
        <v>237</v>
      </c>
      <c r="F116" s="9" t="s">
        <v>3</v>
      </c>
      <c r="G116" s="9" t="s">
        <v>590</v>
      </c>
      <c r="H116" s="9" t="s">
        <v>928</v>
      </c>
      <c r="I116" s="9" t="s">
        <v>569</v>
      </c>
      <c r="J116" s="9" t="s">
        <v>569</v>
      </c>
      <c r="K116" s="9" t="s">
        <v>932</v>
      </c>
      <c r="L116" s="9" t="s">
        <v>307</v>
      </c>
      <c r="M116" s="9" t="s">
        <v>776</v>
      </c>
      <c r="N116" s="9" t="s">
        <v>909</v>
      </c>
      <c r="O116" s="9" t="s">
        <v>980</v>
      </c>
      <c r="P116" s="9" t="s">
        <v>571</v>
      </c>
      <c r="Q116" s="9" t="s">
        <v>572</v>
      </c>
    </row>
    <row r="117" spans="1:17" s="9" customFormat="1" x14ac:dyDescent="0.25">
      <c r="A117" s="9" t="s">
        <v>123</v>
      </c>
      <c r="B117" s="9" t="s">
        <v>17</v>
      </c>
      <c r="C117" s="9" t="s">
        <v>17</v>
      </c>
      <c r="D117" s="9" t="s">
        <v>122</v>
      </c>
      <c r="E117" s="9" t="s">
        <v>236</v>
      </c>
      <c r="F117" s="9" t="s">
        <v>3</v>
      </c>
      <c r="G117" s="9" t="s">
        <v>568</v>
      </c>
      <c r="H117" s="9" t="s">
        <v>928</v>
      </c>
      <c r="I117" s="9" t="s">
        <v>569</v>
      </c>
      <c r="J117" s="9" t="s">
        <v>569</v>
      </c>
      <c r="K117" s="9" t="s">
        <v>932</v>
      </c>
      <c r="L117" s="9" t="s">
        <v>307</v>
      </c>
      <c r="M117" s="9" t="s">
        <v>757</v>
      </c>
      <c r="N117" s="9" t="s">
        <v>908</v>
      </c>
      <c r="O117" s="9" t="s">
        <v>1044</v>
      </c>
      <c r="P117" s="9" t="s">
        <v>571</v>
      </c>
      <c r="Q117" s="9" t="s">
        <v>572</v>
      </c>
    </row>
    <row r="118" spans="1:17" s="9" customFormat="1" x14ac:dyDescent="0.25">
      <c r="A118" s="9" t="s">
        <v>467</v>
      </c>
      <c r="B118" s="9" t="s">
        <v>468</v>
      </c>
      <c r="C118" s="9" t="s">
        <v>468</v>
      </c>
      <c r="D118" s="9" t="s">
        <v>469</v>
      </c>
      <c r="E118" s="9" t="s">
        <v>242</v>
      </c>
      <c r="F118" s="9" t="s">
        <v>3</v>
      </c>
      <c r="G118" s="9" t="s">
        <v>568</v>
      </c>
      <c r="H118" s="9" t="s">
        <v>928</v>
      </c>
      <c r="I118" s="9" t="s">
        <v>569</v>
      </c>
      <c r="J118" s="9" t="s">
        <v>569</v>
      </c>
      <c r="K118" s="9" t="s">
        <v>932</v>
      </c>
      <c r="L118" s="9" t="s">
        <v>307</v>
      </c>
      <c r="M118" s="9" t="s">
        <v>774</v>
      </c>
      <c r="N118" s="9" t="s">
        <v>914</v>
      </c>
      <c r="O118" s="9" t="s">
        <v>1045</v>
      </c>
      <c r="P118" s="9" t="s">
        <v>571</v>
      </c>
      <c r="Q118" s="9" t="s">
        <v>572</v>
      </c>
    </row>
    <row r="119" spans="1:17" s="9" customFormat="1" x14ac:dyDescent="0.25">
      <c r="A119" s="9" t="s">
        <v>365</v>
      </c>
      <c r="B119" s="9" t="s">
        <v>366</v>
      </c>
      <c r="C119" s="9" t="s">
        <v>367</v>
      </c>
      <c r="D119" s="9" t="s">
        <v>368</v>
      </c>
      <c r="E119" s="9" t="s">
        <v>237</v>
      </c>
      <c r="F119" s="9" t="s">
        <v>3</v>
      </c>
      <c r="G119" s="9" t="s">
        <v>568</v>
      </c>
      <c r="H119" s="9" t="s">
        <v>928</v>
      </c>
      <c r="I119" s="9" t="s">
        <v>569</v>
      </c>
      <c r="J119" s="9" t="s">
        <v>569</v>
      </c>
      <c r="K119" s="9" t="s">
        <v>932</v>
      </c>
      <c r="L119" s="9" t="s">
        <v>307</v>
      </c>
      <c r="M119" s="9" t="s">
        <v>779</v>
      </c>
      <c r="N119" s="9" t="s">
        <v>911</v>
      </c>
      <c r="O119" s="9" t="s">
        <v>1046</v>
      </c>
      <c r="P119" s="9" t="s">
        <v>571</v>
      </c>
      <c r="Q119" s="9" t="s">
        <v>572</v>
      </c>
    </row>
    <row r="120" spans="1:17" s="9" customFormat="1" x14ac:dyDescent="0.25">
      <c r="A120" s="9" t="s">
        <v>209</v>
      </c>
      <c r="B120" s="9" t="s">
        <v>215</v>
      </c>
      <c r="C120" s="9" t="s">
        <v>216</v>
      </c>
      <c r="D120" s="9" t="s">
        <v>191</v>
      </c>
      <c r="E120" s="9" t="s">
        <v>247</v>
      </c>
      <c r="F120" s="9" t="s">
        <v>3</v>
      </c>
      <c r="G120" s="9" t="s">
        <v>568</v>
      </c>
      <c r="H120" s="9" t="s">
        <v>928</v>
      </c>
      <c r="I120" s="9" t="s">
        <v>569</v>
      </c>
      <c r="J120" s="9" t="s">
        <v>569</v>
      </c>
      <c r="K120" s="9" t="s">
        <v>932</v>
      </c>
      <c r="L120" s="9" t="s">
        <v>307</v>
      </c>
      <c r="M120" s="9" t="s">
        <v>778</v>
      </c>
      <c r="N120" s="9" t="s">
        <v>906</v>
      </c>
      <c r="O120" s="9" t="s">
        <v>1047</v>
      </c>
      <c r="P120" s="9" t="s">
        <v>571</v>
      </c>
      <c r="Q120" s="9" t="s">
        <v>572</v>
      </c>
    </row>
    <row r="121" spans="1:17" s="9" customFormat="1" x14ac:dyDescent="0.25">
      <c r="A121" s="9" t="s">
        <v>539</v>
      </c>
      <c r="B121" s="9" t="s">
        <v>540</v>
      </c>
      <c r="C121" s="9" t="s">
        <v>540</v>
      </c>
      <c r="D121" s="9" t="s">
        <v>545</v>
      </c>
      <c r="E121" s="9" t="s">
        <v>237</v>
      </c>
      <c r="F121" s="9" t="s">
        <v>3</v>
      </c>
      <c r="G121" s="9" t="s">
        <v>590</v>
      </c>
      <c r="H121" s="9" t="s">
        <v>928</v>
      </c>
      <c r="I121" s="9" t="s">
        <v>569</v>
      </c>
      <c r="J121" s="9" t="s">
        <v>569</v>
      </c>
      <c r="K121" s="9" t="s">
        <v>932</v>
      </c>
      <c r="L121" s="9" t="s">
        <v>307</v>
      </c>
      <c r="M121" s="9" t="s">
        <v>772</v>
      </c>
      <c r="N121" s="9" t="s">
        <v>900</v>
      </c>
      <c r="O121" s="9" t="s">
        <v>1048</v>
      </c>
      <c r="P121" s="9" t="s">
        <v>571</v>
      </c>
      <c r="Q121" s="9" t="s">
        <v>572</v>
      </c>
    </row>
    <row r="122" spans="1:17" s="9" customFormat="1" x14ac:dyDescent="0.25">
      <c r="A122" s="9" t="s">
        <v>103</v>
      </c>
      <c r="B122" s="9" t="s">
        <v>282</v>
      </c>
      <c r="C122" s="9" t="s">
        <v>282</v>
      </c>
      <c r="D122" s="9" t="s">
        <v>300</v>
      </c>
      <c r="E122" s="9" t="s">
        <v>243</v>
      </c>
      <c r="F122" s="9" t="s">
        <v>3</v>
      </c>
      <c r="G122" s="9" t="s">
        <v>568</v>
      </c>
      <c r="H122" s="9" t="s">
        <v>928</v>
      </c>
      <c r="I122" s="9" t="s">
        <v>569</v>
      </c>
      <c r="J122" s="9" t="s">
        <v>569</v>
      </c>
      <c r="K122" s="9" t="s">
        <v>932</v>
      </c>
      <c r="L122" s="9" t="s">
        <v>307</v>
      </c>
      <c r="M122" s="9" t="s">
        <v>788</v>
      </c>
      <c r="N122" s="9" t="s">
        <v>919</v>
      </c>
      <c r="O122" s="9" t="s">
        <v>1049</v>
      </c>
      <c r="P122" s="9" t="s">
        <v>571</v>
      </c>
      <c r="Q122" s="9" t="s">
        <v>572</v>
      </c>
    </row>
    <row r="123" spans="1:17" s="9" customFormat="1" x14ac:dyDescent="0.25">
      <c r="A123" s="9" t="s">
        <v>203</v>
      </c>
      <c r="B123" s="9" t="s">
        <v>204</v>
      </c>
      <c r="C123" s="9" t="s">
        <v>204</v>
      </c>
      <c r="D123" s="9" t="s">
        <v>205</v>
      </c>
      <c r="E123" s="9" t="s">
        <v>246</v>
      </c>
      <c r="F123" s="9" t="s">
        <v>3</v>
      </c>
      <c r="G123" s="9" t="s">
        <v>568</v>
      </c>
      <c r="H123" s="9" t="s">
        <v>928</v>
      </c>
      <c r="I123" s="9" t="s">
        <v>569</v>
      </c>
      <c r="J123" s="9" t="s">
        <v>569</v>
      </c>
      <c r="K123" s="9" t="s">
        <v>932</v>
      </c>
      <c r="L123" s="9" t="s">
        <v>307</v>
      </c>
      <c r="M123" s="9" t="s">
        <v>784</v>
      </c>
      <c r="N123" s="9" t="s">
        <v>912</v>
      </c>
      <c r="O123" s="9" t="s">
        <v>1050</v>
      </c>
      <c r="P123" s="9" t="s">
        <v>571</v>
      </c>
      <c r="Q123" s="9" t="s">
        <v>572</v>
      </c>
    </row>
    <row r="124" spans="1:17" s="9" customFormat="1" x14ac:dyDescent="0.25">
      <c r="A124" s="9" t="s">
        <v>380</v>
      </c>
      <c r="B124" s="9" t="s">
        <v>381</v>
      </c>
      <c r="C124" s="9" t="s">
        <v>382</v>
      </c>
      <c r="D124" s="9" t="s">
        <v>383</v>
      </c>
      <c r="E124" s="9" t="s">
        <v>237</v>
      </c>
      <c r="F124" s="9" t="s">
        <v>3</v>
      </c>
      <c r="G124" s="9" t="s">
        <v>568</v>
      </c>
      <c r="H124" s="9" t="s">
        <v>928</v>
      </c>
      <c r="I124" s="9" t="s">
        <v>569</v>
      </c>
      <c r="J124" s="9" t="s">
        <v>569</v>
      </c>
      <c r="K124" s="9" t="s">
        <v>932</v>
      </c>
      <c r="L124" s="9" t="s">
        <v>307</v>
      </c>
      <c r="M124" s="9" t="s">
        <v>763</v>
      </c>
      <c r="N124" s="9" t="s">
        <v>894</v>
      </c>
      <c r="O124" s="9" t="s">
        <v>1051</v>
      </c>
      <c r="P124" s="9" t="s">
        <v>571</v>
      </c>
      <c r="Q124" s="9" t="s">
        <v>572</v>
      </c>
    </row>
    <row r="125" spans="1:17" s="9" customFormat="1" x14ac:dyDescent="0.25">
      <c r="A125" s="9" t="s">
        <v>259</v>
      </c>
      <c r="B125" s="9" t="s">
        <v>260</v>
      </c>
      <c r="C125" s="9" t="s">
        <v>261</v>
      </c>
      <c r="D125" s="9" t="s">
        <v>401</v>
      </c>
      <c r="E125" s="9" t="s">
        <v>237</v>
      </c>
      <c r="F125" s="9" t="s">
        <v>3</v>
      </c>
      <c r="G125" s="9" t="s">
        <v>568</v>
      </c>
      <c r="H125" s="9" t="s">
        <v>928</v>
      </c>
      <c r="I125" s="9" t="s">
        <v>569</v>
      </c>
      <c r="J125" s="9" t="s">
        <v>569</v>
      </c>
      <c r="K125" s="9" t="s">
        <v>932</v>
      </c>
      <c r="L125" s="9" t="s">
        <v>307</v>
      </c>
      <c r="M125" s="9" t="s">
        <v>777</v>
      </c>
      <c r="N125" s="9" t="s">
        <v>920</v>
      </c>
      <c r="O125" s="9" t="s">
        <v>1052</v>
      </c>
      <c r="P125" s="9" t="s">
        <v>571</v>
      </c>
      <c r="Q125" s="9" t="s">
        <v>572</v>
      </c>
    </row>
    <row r="126" spans="1:17" s="9" customFormat="1" x14ac:dyDescent="0.25">
      <c r="A126" s="9" t="s">
        <v>106</v>
      </c>
      <c r="B126" s="9" t="s">
        <v>107</v>
      </c>
      <c r="C126" s="9" t="s">
        <v>107</v>
      </c>
      <c r="D126" s="9" t="s">
        <v>1053</v>
      </c>
      <c r="E126" s="9" t="s">
        <v>239</v>
      </c>
      <c r="F126" s="9" t="s">
        <v>3</v>
      </c>
      <c r="G126" s="9" t="s">
        <v>568</v>
      </c>
      <c r="H126" s="9" t="s">
        <v>928</v>
      </c>
      <c r="I126" s="9" t="s">
        <v>569</v>
      </c>
      <c r="J126" s="9" t="s">
        <v>569</v>
      </c>
      <c r="K126" s="9" t="s">
        <v>932</v>
      </c>
      <c r="L126" s="9" t="s">
        <v>307</v>
      </c>
      <c r="M126" s="9" t="s">
        <v>780</v>
      </c>
      <c r="N126" s="9" t="s">
        <v>915</v>
      </c>
      <c r="O126" s="9" t="s">
        <v>1054</v>
      </c>
      <c r="P126" s="9" t="s">
        <v>571</v>
      </c>
      <c r="Q126" s="9" t="s">
        <v>572</v>
      </c>
    </row>
    <row r="127" spans="1:17" s="9" customFormat="1" x14ac:dyDescent="0.25">
      <c r="A127" s="9" t="s">
        <v>173</v>
      </c>
      <c r="B127" s="9" t="s">
        <v>40</v>
      </c>
      <c r="C127" s="9" t="s">
        <v>41</v>
      </c>
      <c r="D127" s="9" t="s">
        <v>40</v>
      </c>
      <c r="E127" s="9" t="s">
        <v>242</v>
      </c>
      <c r="F127" s="9" t="s">
        <v>3</v>
      </c>
      <c r="G127" s="9" t="s">
        <v>590</v>
      </c>
      <c r="H127" s="9" t="s">
        <v>928</v>
      </c>
      <c r="I127" s="9" t="s">
        <v>569</v>
      </c>
      <c r="J127" s="9" t="s">
        <v>569</v>
      </c>
      <c r="K127" s="9" t="s">
        <v>932</v>
      </c>
      <c r="L127" s="9" t="s">
        <v>307</v>
      </c>
      <c r="M127" s="9" t="s">
        <v>775</v>
      </c>
      <c r="N127" s="9" t="s">
        <v>910</v>
      </c>
      <c r="O127" s="9" t="s">
        <v>1055</v>
      </c>
      <c r="P127" s="9" t="s">
        <v>571</v>
      </c>
      <c r="Q127" s="9" t="s">
        <v>572</v>
      </c>
    </row>
    <row r="128" spans="1:17" s="9" customFormat="1" x14ac:dyDescent="0.25">
      <c r="A128" s="9" t="s">
        <v>114</v>
      </c>
      <c r="B128" s="9" t="s">
        <v>115</v>
      </c>
      <c r="C128" s="9" t="s">
        <v>115</v>
      </c>
      <c r="D128" s="9" t="s">
        <v>221</v>
      </c>
      <c r="E128" s="9" t="s">
        <v>236</v>
      </c>
      <c r="F128" s="9" t="s">
        <v>3</v>
      </c>
      <c r="G128" s="9" t="s">
        <v>568</v>
      </c>
      <c r="H128" s="9" t="s">
        <v>928</v>
      </c>
      <c r="I128" s="9" t="s">
        <v>569</v>
      </c>
      <c r="J128" s="9" t="s">
        <v>569</v>
      </c>
      <c r="K128" s="9" t="s">
        <v>932</v>
      </c>
      <c r="L128" s="9" t="s">
        <v>307</v>
      </c>
      <c r="M128" s="9" t="s">
        <v>781</v>
      </c>
      <c r="N128" s="9" t="s">
        <v>913</v>
      </c>
      <c r="O128" s="9" t="s">
        <v>1056</v>
      </c>
      <c r="P128" s="9" t="s">
        <v>571</v>
      </c>
      <c r="Q128" s="9" t="s">
        <v>572</v>
      </c>
    </row>
    <row r="129" spans="1:17" s="9" customFormat="1" x14ac:dyDescent="0.25">
      <c r="A129" s="9" t="s">
        <v>66</v>
      </c>
      <c r="B129" s="9" t="s">
        <v>67</v>
      </c>
      <c r="C129" s="9" t="s">
        <v>67</v>
      </c>
      <c r="D129" s="9" t="s">
        <v>65</v>
      </c>
      <c r="E129" s="9" t="s">
        <v>237</v>
      </c>
      <c r="F129" s="9" t="s">
        <v>3</v>
      </c>
      <c r="G129" s="9" t="s">
        <v>590</v>
      </c>
      <c r="H129" s="9" t="s">
        <v>928</v>
      </c>
      <c r="I129" s="9" t="s">
        <v>569</v>
      </c>
      <c r="J129" s="9" t="s">
        <v>569</v>
      </c>
      <c r="K129" s="9" t="s">
        <v>932</v>
      </c>
      <c r="L129" s="9" t="s">
        <v>307</v>
      </c>
      <c r="M129" s="9" t="s">
        <v>782</v>
      </c>
      <c r="N129" s="9" t="s">
        <v>916</v>
      </c>
      <c r="O129" s="9" t="s">
        <v>1057</v>
      </c>
      <c r="P129" s="9" t="s">
        <v>571</v>
      </c>
      <c r="Q129" s="9" t="s">
        <v>572</v>
      </c>
    </row>
    <row r="130" spans="1:17" s="9" customFormat="1" x14ac:dyDescent="0.25">
      <c r="A130" s="9" t="s">
        <v>27</v>
      </c>
      <c r="B130" s="9" t="s">
        <v>199</v>
      </c>
      <c r="C130" s="9" t="s">
        <v>138</v>
      </c>
      <c r="D130" s="9" t="s">
        <v>373</v>
      </c>
      <c r="E130" s="9" t="s">
        <v>239</v>
      </c>
      <c r="F130" s="9" t="s">
        <v>3</v>
      </c>
      <c r="G130" s="9" t="s">
        <v>590</v>
      </c>
      <c r="H130" s="9" t="s">
        <v>928</v>
      </c>
      <c r="I130" s="9" t="s">
        <v>569</v>
      </c>
      <c r="J130" s="9" t="s">
        <v>569</v>
      </c>
      <c r="K130" s="9" t="s">
        <v>932</v>
      </c>
      <c r="L130" s="9" t="s">
        <v>307</v>
      </c>
      <c r="M130" s="9" t="s">
        <v>783</v>
      </c>
      <c r="N130" s="9" t="s">
        <v>918</v>
      </c>
      <c r="O130" s="9" t="s">
        <v>1058</v>
      </c>
      <c r="P130" s="9" t="s">
        <v>571</v>
      </c>
      <c r="Q130" s="9" t="s">
        <v>572</v>
      </c>
    </row>
    <row r="131" spans="1:17" s="9" customFormat="1" x14ac:dyDescent="0.25">
      <c r="A131" s="9" t="s">
        <v>785</v>
      </c>
      <c r="B131" s="9" t="s">
        <v>199</v>
      </c>
      <c r="C131" s="9" t="s">
        <v>199</v>
      </c>
      <c r="D131" s="9" t="s">
        <v>373</v>
      </c>
      <c r="E131" s="9" t="s">
        <v>239</v>
      </c>
      <c r="F131" s="9" t="s">
        <v>3</v>
      </c>
      <c r="G131" s="9" t="s">
        <v>568</v>
      </c>
      <c r="H131" s="9" t="s">
        <v>928</v>
      </c>
      <c r="I131" s="9" t="s">
        <v>569</v>
      </c>
      <c r="J131" s="9" t="s">
        <v>569</v>
      </c>
      <c r="K131" s="9" t="s">
        <v>932</v>
      </c>
      <c r="L131" s="9" t="s">
        <v>307</v>
      </c>
      <c r="M131" s="9" t="s">
        <v>569</v>
      </c>
      <c r="N131" s="9" t="s">
        <v>569</v>
      </c>
      <c r="O131" s="9" t="s">
        <v>569</v>
      </c>
      <c r="P131" s="9" t="s">
        <v>580</v>
      </c>
      <c r="Q131" s="9" t="s">
        <v>572</v>
      </c>
    </row>
    <row r="132" spans="1:17" s="9" customFormat="1" x14ac:dyDescent="0.25">
      <c r="A132" s="9" t="s">
        <v>296</v>
      </c>
      <c r="B132" s="9" t="s">
        <v>297</v>
      </c>
      <c r="C132" s="9" t="s">
        <v>297</v>
      </c>
      <c r="D132" s="9" t="s">
        <v>441</v>
      </c>
      <c r="E132" s="9" t="s">
        <v>240</v>
      </c>
      <c r="F132" s="9" t="s">
        <v>3</v>
      </c>
      <c r="G132" s="9" t="s">
        <v>568</v>
      </c>
      <c r="H132" s="9" t="s">
        <v>928</v>
      </c>
      <c r="I132" s="9" t="s">
        <v>569</v>
      </c>
      <c r="J132" s="9" t="s">
        <v>569</v>
      </c>
      <c r="K132" s="9" t="s">
        <v>932</v>
      </c>
      <c r="L132" s="9" t="s">
        <v>307</v>
      </c>
      <c r="M132" s="9" t="s">
        <v>786</v>
      </c>
      <c r="N132" s="9" t="s">
        <v>922</v>
      </c>
      <c r="O132" s="9" t="s">
        <v>1059</v>
      </c>
      <c r="P132" s="9" t="s">
        <v>571</v>
      </c>
      <c r="Q132" s="9" t="s">
        <v>572</v>
      </c>
    </row>
    <row r="133" spans="1:17" s="9" customFormat="1" x14ac:dyDescent="0.25">
      <c r="A133" s="9" t="s">
        <v>160</v>
      </c>
      <c r="B133" s="9" t="s">
        <v>102</v>
      </c>
      <c r="C133" s="9" t="s">
        <v>102</v>
      </c>
      <c r="D133" s="9" t="s">
        <v>290</v>
      </c>
      <c r="E133" s="9" t="s">
        <v>237</v>
      </c>
      <c r="F133" s="9" t="s">
        <v>3</v>
      </c>
      <c r="G133" s="9" t="s">
        <v>590</v>
      </c>
      <c r="H133" s="9" t="s">
        <v>928</v>
      </c>
      <c r="I133" s="9" t="s">
        <v>569</v>
      </c>
      <c r="J133" s="9" t="s">
        <v>569</v>
      </c>
      <c r="K133" s="9" t="s">
        <v>932</v>
      </c>
      <c r="L133" s="9" t="s">
        <v>307</v>
      </c>
      <c r="M133" s="9" t="s">
        <v>787</v>
      </c>
      <c r="N133" s="9" t="s">
        <v>925</v>
      </c>
      <c r="O133" s="9" t="s">
        <v>1060</v>
      </c>
      <c r="P133" s="9" t="s">
        <v>571</v>
      </c>
      <c r="Q133" s="9" t="s">
        <v>572</v>
      </c>
    </row>
    <row r="134" spans="1:17" s="9" customFormat="1" x14ac:dyDescent="0.25">
      <c r="A134" s="9" t="s">
        <v>625</v>
      </c>
      <c r="B134" s="9" t="s">
        <v>626</v>
      </c>
      <c r="C134" s="9" t="s">
        <v>626</v>
      </c>
      <c r="D134" s="9" t="s">
        <v>627</v>
      </c>
      <c r="E134" s="9" t="s">
        <v>240</v>
      </c>
      <c r="F134" s="9" t="s">
        <v>3</v>
      </c>
      <c r="G134" s="9" t="s">
        <v>568</v>
      </c>
      <c r="H134" s="9" t="s">
        <v>928</v>
      </c>
      <c r="I134" s="9" t="s">
        <v>569</v>
      </c>
      <c r="J134" s="9" t="s">
        <v>569</v>
      </c>
      <c r="K134" s="9" t="s">
        <v>932</v>
      </c>
      <c r="L134" s="9" t="s">
        <v>307</v>
      </c>
      <c r="M134" s="9" t="s">
        <v>771</v>
      </c>
      <c r="N134" s="9" t="s">
        <v>890</v>
      </c>
      <c r="O134" s="9" t="s">
        <v>1061</v>
      </c>
      <c r="P134" s="9" t="s">
        <v>580</v>
      </c>
      <c r="Q134" s="9" t="s">
        <v>572</v>
      </c>
    </row>
    <row r="135" spans="1:17" s="9" customFormat="1" x14ac:dyDescent="0.25">
      <c r="A135" s="9" t="s">
        <v>500</v>
      </c>
      <c r="B135" s="9" t="s">
        <v>501</v>
      </c>
      <c r="C135" s="9" t="s">
        <v>501</v>
      </c>
      <c r="D135" s="9" t="s">
        <v>502</v>
      </c>
      <c r="E135" s="9" t="s">
        <v>242</v>
      </c>
      <c r="F135" s="9" t="s">
        <v>3</v>
      </c>
      <c r="G135" s="9" t="s">
        <v>568</v>
      </c>
      <c r="H135" s="9" t="s">
        <v>928</v>
      </c>
      <c r="I135" s="9" t="s">
        <v>569</v>
      </c>
      <c r="J135" s="9" t="s">
        <v>569</v>
      </c>
      <c r="K135" s="9" t="s">
        <v>932</v>
      </c>
      <c r="L135" s="9" t="s">
        <v>307</v>
      </c>
      <c r="M135" s="9" t="s">
        <v>767</v>
      </c>
      <c r="N135" s="9" t="s">
        <v>898</v>
      </c>
      <c r="O135" s="9" t="s">
        <v>1062</v>
      </c>
      <c r="P135" s="9" t="s">
        <v>571</v>
      </c>
      <c r="Q135" s="9" t="s">
        <v>572</v>
      </c>
    </row>
    <row r="136" spans="1:17" s="9" customFormat="1" x14ac:dyDescent="0.25">
      <c r="A136" s="9" t="s">
        <v>463</v>
      </c>
      <c r="B136" s="9" t="s">
        <v>464</v>
      </c>
      <c r="C136" s="9" t="s">
        <v>465</v>
      </c>
      <c r="D136" s="9" t="s">
        <v>466</v>
      </c>
      <c r="E136" s="9" t="s">
        <v>236</v>
      </c>
      <c r="F136" s="9" t="s">
        <v>3</v>
      </c>
      <c r="G136" s="9" t="s">
        <v>568</v>
      </c>
      <c r="H136" s="9" t="s">
        <v>928</v>
      </c>
      <c r="I136" s="9" t="s">
        <v>569</v>
      </c>
      <c r="J136" s="9" t="s">
        <v>569</v>
      </c>
      <c r="K136" s="9" t="s">
        <v>932</v>
      </c>
      <c r="L136" s="9" t="s">
        <v>307</v>
      </c>
      <c r="M136" s="9" t="s">
        <v>766</v>
      </c>
      <c r="N136" s="9" t="s">
        <v>897</v>
      </c>
      <c r="O136" s="9" t="s">
        <v>1063</v>
      </c>
      <c r="P136" s="9" t="s">
        <v>571</v>
      </c>
      <c r="Q136" s="9" t="s">
        <v>572</v>
      </c>
    </row>
    <row r="137" spans="1:17" s="9" customFormat="1" x14ac:dyDescent="0.25">
      <c r="A137" s="9" t="s">
        <v>407</v>
      </c>
      <c r="B137" s="9" t="s">
        <v>408</v>
      </c>
      <c r="C137" s="9" t="s">
        <v>408</v>
      </c>
      <c r="D137" s="9" t="s">
        <v>409</v>
      </c>
      <c r="E137" s="9" t="s">
        <v>237</v>
      </c>
      <c r="F137" s="9" t="s">
        <v>3</v>
      </c>
      <c r="G137" s="9" t="s">
        <v>568</v>
      </c>
      <c r="H137" s="9" t="s">
        <v>928</v>
      </c>
      <c r="I137" s="9" t="s">
        <v>569</v>
      </c>
      <c r="J137" s="9" t="s">
        <v>569</v>
      </c>
      <c r="K137" s="9" t="s">
        <v>932</v>
      </c>
      <c r="L137" s="9" t="s">
        <v>307</v>
      </c>
      <c r="M137" s="9" t="s">
        <v>770</v>
      </c>
      <c r="N137" s="9" t="s">
        <v>907</v>
      </c>
      <c r="O137" s="9" t="s">
        <v>1064</v>
      </c>
      <c r="P137" s="9" t="s">
        <v>571</v>
      </c>
      <c r="Q137" s="9" t="s">
        <v>572</v>
      </c>
    </row>
    <row r="138" spans="1:17" s="9" customFormat="1" x14ac:dyDescent="0.25">
      <c r="A138" s="9" t="s">
        <v>210</v>
      </c>
      <c r="B138" s="9" t="s">
        <v>225</v>
      </c>
      <c r="C138" s="9" t="s">
        <v>226</v>
      </c>
      <c r="D138" s="9" t="s">
        <v>252</v>
      </c>
      <c r="E138" s="9" t="s">
        <v>236</v>
      </c>
      <c r="F138" s="9" t="s">
        <v>3</v>
      </c>
      <c r="G138" s="9" t="s">
        <v>568</v>
      </c>
      <c r="H138" s="9" t="s">
        <v>928</v>
      </c>
      <c r="I138" s="9" t="s">
        <v>569</v>
      </c>
      <c r="J138" s="9" t="s">
        <v>1065</v>
      </c>
      <c r="K138" s="9" t="s">
        <v>1065</v>
      </c>
      <c r="L138" s="9" t="s">
        <v>117</v>
      </c>
      <c r="M138" s="9" t="s">
        <v>697</v>
      </c>
      <c r="N138" s="9" t="s">
        <v>828</v>
      </c>
      <c r="O138" s="9" t="s">
        <v>1066</v>
      </c>
      <c r="P138" s="9" t="s">
        <v>580</v>
      </c>
      <c r="Q138" s="9" t="s">
        <v>572</v>
      </c>
    </row>
    <row r="139" spans="1:17" s="9" customFormat="1" x14ac:dyDescent="0.25"/>
    <row r="140" spans="1:17" s="9" customFormat="1" x14ac:dyDescent="0.25"/>
    <row r="141" spans="1:17" s="9" customFormat="1" x14ac:dyDescent="0.25"/>
    <row r="142" spans="1:17" s="9" customFormat="1" x14ac:dyDescent="0.25"/>
    <row r="143" spans="1:17" s="9" customFormat="1" x14ac:dyDescent="0.25"/>
    <row r="144" spans="1:17" s="9" customFormat="1" x14ac:dyDescent="0.25"/>
    <row r="145" spans="1:17" s="9" customFormat="1" x14ac:dyDescent="0.25"/>
    <row r="146" spans="1:17" s="9" customFormat="1" x14ac:dyDescent="0.25"/>
    <row r="147" spans="1:17" s="9" customFormat="1" x14ac:dyDescent="0.25"/>
    <row r="148" spans="1:17" s="9" customFormat="1" x14ac:dyDescent="0.25"/>
    <row r="149" spans="1:17" s="9" customFormat="1" x14ac:dyDescent="0.25"/>
    <row r="150" spans="1:17" s="9" customFormat="1" x14ac:dyDescent="0.25"/>
    <row r="151" spans="1:17" s="9" customFormat="1" x14ac:dyDescent="0.25"/>
    <row r="152" spans="1:17" s="9" customFormat="1" x14ac:dyDescent="0.25"/>
    <row r="153" spans="1:17" s="9" customFormat="1" x14ac:dyDescent="0.25"/>
    <row r="154" spans="1:17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</sheetData>
  <customSheetViews>
    <customSheetView guid="{A1637ED3-F38C-4E77-A8BB-011227AA9694}" topLeftCell="A134">
      <selection activeCell="B148" sqref="B148"/>
      <pageMargins left="0.7" right="0.7" top="0.75" bottom="0.75" header="0.3" footer="0.3"/>
      <pageSetup orientation="portrait" horizontalDpi="300" verticalDpi="300" r:id="rId1"/>
    </customSheetView>
    <customSheetView guid="{B578103E-327A-4E76-AD33-0ADD9829657C}" topLeftCell="A136">
      <selection activeCell="A2" sqref="A2:F164"/>
      <pageMargins left="0.7" right="0.7" top="0.75" bottom="0.75" header="0.3" footer="0.3"/>
      <pageSetup orientation="portrait" horizontalDpi="300" verticalDpi="300" r:id="rId2"/>
    </customSheetView>
    <customSheetView guid="{D2E21015-49B6-4DCD-8903-2A33CC51A6BC}" scale="115" topLeftCell="A197">
      <selection activeCell="L2" sqref="L2:L216"/>
      <pageMargins left="0.7" right="0.7" top="0.75" bottom="0.75" header="0.3" footer="0.3"/>
      <pageSetup orientation="portrait" horizontalDpi="300" verticalDpi="300" r:id="rId3"/>
    </customSheetView>
    <customSheetView guid="{EDF2F6B2-21F7-4895-9F69-CDF26867E73E}" topLeftCell="H160">
      <selection activeCell="K258" sqref="K258"/>
      <pageMargins left="0.7" right="0.7" top="0.75" bottom="0.75" header="0.3" footer="0.3"/>
      <pageSetup orientation="portrait" horizontalDpi="300" verticalDpi="300" r:id="rId4"/>
    </customSheetView>
    <customSheetView guid="{D4E624F4-8690-493F-875F-508F53C873EF}" topLeftCell="A182">
      <selection activeCell="L2" sqref="L2:L275"/>
      <pageMargins left="0.7" right="0.7" top="0.75" bottom="0.75" header="0.3" footer="0.3"/>
    </customSheetView>
    <customSheetView guid="{D0696375-DBB5-4809-BC60-44F8F56B2779}" scale="115" topLeftCell="A167">
      <selection activeCell="A181" sqref="A181:XFD181"/>
      <pageMargins left="0.7" right="0.7" top="0.75" bottom="0.75" header="0.3" footer="0.3"/>
      <pageSetup orientation="portrait" horizontalDpi="300" verticalDpi="300" r:id="rId5"/>
    </customSheetView>
    <customSheetView guid="{C5352930-F296-4056-ADED-A54F12C72A5E}" scale="115" topLeftCell="A162">
      <selection activeCell="C179" sqref="C179"/>
      <pageMargins left="0.7" right="0.7" top="0.75" bottom="0.75" header="0.3" footer="0.3"/>
      <pageSetup orientation="portrait" horizontalDpi="300" verticalDpi="300" r:id="rId6"/>
    </customSheetView>
    <customSheetView guid="{7595FEC4-A35A-45A8-ABFF-30CA7F2E3DDB}" topLeftCell="A138">
      <selection activeCell="A2" sqref="A2:F160"/>
      <pageMargins left="0.7" right="0.7" top="0.75" bottom="0.75" header="0.3" footer="0.3"/>
      <pageSetup orientation="portrait" horizontalDpi="300" verticalDpi="300" r:id="rId7"/>
    </customSheetView>
  </customSheetViews>
  <pageMargins left="0.7" right="0.7" top="0.75" bottom="0.75" header="0.3" footer="0.3"/>
  <pageSetup orientation="portrait" horizontalDpi="300" verticalDpi="300"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159"/>
  <sheetViews>
    <sheetView workbookViewId="0">
      <selection activeCell="D1" sqref="D1"/>
    </sheetView>
  </sheetViews>
  <sheetFormatPr defaultColWidth="9.140625" defaultRowHeight="15" x14ac:dyDescent="0.25"/>
  <cols>
    <col min="1" max="4" width="22" style="9" customWidth="1"/>
    <col min="5" max="16384" width="9.140625" style="9"/>
  </cols>
  <sheetData>
    <row r="1" spans="1:4" x14ac:dyDescent="0.25">
      <c r="A1" s="45" t="s">
        <v>363</v>
      </c>
      <c r="B1" s="45" t="s">
        <v>364</v>
      </c>
      <c r="C1" s="45" t="s">
        <v>372</v>
      </c>
      <c r="D1" s="45" t="s">
        <v>446</v>
      </c>
    </row>
    <row r="2" spans="1:4" x14ac:dyDescent="0.25">
      <c r="A2" s="9" t="s">
        <v>171</v>
      </c>
      <c r="B2" s="9" t="s">
        <v>172</v>
      </c>
      <c r="C2" s="9" t="s">
        <v>5</v>
      </c>
      <c r="D2" s="9" t="s">
        <v>641</v>
      </c>
    </row>
    <row r="3" spans="1:4" x14ac:dyDescent="0.25">
      <c r="A3" s="9" t="s">
        <v>374</v>
      </c>
      <c r="B3" s="9" t="s">
        <v>376</v>
      </c>
      <c r="C3" s="9" t="s">
        <v>375</v>
      </c>
      <c r="D3" s="9" t="s">
        <v>641</v>
      </c>
    </row>
    <row r="4" spans="1:4" x14ac:dyDescent="0.25">
      <c r="A4" s="9" t="s">
        <v>322</v>
      </c>
      <c r="B4" s="9" t="s">
        <v>325</v>
      </c>
      <c r="C4" s="9" t="s">
        <v>323</v>
      </c>
      <c r="D4" s="9" t="s">
        <v>641</v>
      </c>
    </row>
    <row r="5" spans="1:4" x14ac:dyDescent="0.25">
      <c r="A5" s="9" t="s">
        <v>543</v>
      </c>
      <c r="B5" s="9" t="s">
        <v>546</v>
      </c>
      <c r="C5" s="9" t="s">
        <v>547</v>
      </c>
      <c r="D5" s="9" t="s">
        <v>641</v>
      </c>
    </row>
    <row r="6" spans="1:4" x14ac:dyDescent="0.25">
      <c r="A6" s="9" t="s">
        <v>157</v>
      </c>
      <c r="B6" s="9" t="s">
        <v>222</v>
      </c>
      <c r="C6" s="9" t="s">
        <v>6</v>
      </c>
      <c r="D6" s="9" t="s">
        <v>641</v>
      </c>
    </row>
    <row r="7" spans="1:4" x14ac:dyDescent="0.25">
      <c r="A7" s="9" t="s">
        <v>8</v>
      </c>
      <c r="B7" s="9" t="s">
        <v>7</v>
      </c>
      <c r="C7" s="9" t="s">
        <v>9</v>
      </c>
      <c r="D7" s="9" t="s">
        <v>641</v>
      </c>
    </row>
    <row r="8" spans="1:4" x14ac:dyDescent="0.25">
      <c r="A8" s="9" t="s">
        <v>11</v>
      </c>
      <c r="B8" s="9" t="s">
        <v>10</v>
      </c>
      <c r="C8" s="9" t="s">
        <v>12</v>
      </c>
      <c r="D8" s="9" t="s">
        <v>641</v>
      </c>
    </row>
    <row r="9" spans="1:4" x14ac:dyDescent="0.25">
      <c r="A9" s="9" t="s">
        <v>156</v>
      </c>
      <c r="B9" s="9" t="s">
        <v>13</v>
      </c>
      <c r="C9" s="9" t="s">
        <v>14</v>
      </c>
      <c r="D9" s="9" t="s">
        <v>641</v>
      </c>
    </row>
    <row r="10" spans="1:4" x14ac:dyDescent="0.25">
      <c r="A10" s="9" t="s">
        <v>168</v>
      </c>
      <c r="B10" s="9" t="s">
        <v>15</v>
      </c>
      <c r="C10" s="9" t="s">
        <v>16</v>
      </c>
      <c r="D10" s="9" t="s">
        <v>641</v>
      </c>
    </row>
    <row r="11" spans="1:4" x14ac:dyDescent="0.25">
      <c r="A11" s="9" t="s">
        <v>625</v>
      </c>
      <c r="B11" s="9" t="s">
        <v>627</v>
      </c>
      <c r="C11" s="9" t="s">
        <v>626</v>
      </c>
      <c r="D11" s="9" t="s">
        <v>641</v>
      </c>
    </row>
    <row r="12" spans="1:4" x14ac:dyDescent="0.25">
      <c r="A12" s="9" t="s">
        <v>402</v>
      </c>
      <c r="B12" s="9" t="s">
        <v>405</v>
      </c>
      <c r="C12" s="9" t="s">
        <v>403</v>
      </c>
      <c r="D12" s="9" t="s">
        <v>641</v>
      </c>
    </row>
    <row r="13" spans="1:4" x14ac:dyDescent="0.25">
      <c r="A13" s="9" t="s">
        <v>176</v>
      </c>
      <c r="B13" s="9" t="s">
        <v>178</v>
      </c>
      <c r="C13" s="9" t="s">
        <v>177</v>
      </c>
      <c r="D13" s="9" t="s">
        <v>641</v>
      </c>
    </row>
    <row r="14" spans="1:4" x14ac:dyDescent="0.25">
      <c r="A14" s="9" t="s">
        <v>123</v>
      </c>
      <c r="B14" s="9" t="s">
        <v>122</v>
      </c>
      <c r="C14" s="9" t="s">
        <v>17</v>
      </c>
      <c r="D14" s="9" t="s">
        <v>641</v>
      </c>
    </row>
    <row r="15" spans="1:4" x14ac:dyDescent="0.25">
      <c r="A15" s="9" t="s">
        <v>158</v>
      </c>
      <c r="B15" s="9" t="s">
        <v>18</v>
      </c>
      <c r="C15" s="9" t="s">
        <v>19</v>
      </c>
      <c r="D15" s="9" t="s">
        <v>641</v>
      </c>
    </row>
    <row r="16" spans="1:4" x14ac:dyDescent="0.25">
      <c r="A16" s="9" t="s">
        <v>209</v>
      </c>
      <c r="B16" s="9" t="s">
        <v>191</v>
      </c>
      <c r="C16" s="9" t="s">
        <v>215</v>
      </c>
      <c r="D16" s="9" t="s">
        <v>641</v>
      </c>
    </row>
    <row r="17" spans="1:4" x14ac:dyDescent="0.25">
      <c r="A17" s="9" t="s">
        <v>24</v>
      </c>
      <c r="B17" s="9" t="s">
        <v>23</v>
      </c>
      <c r="C17" s="9" t="s">
        <v>25</v>
      </c>
      <c r="D17" s="9" t="s">
        <v>641</v>
      </c>
    </row>
    <row r="18" spans="1:4" x14ac:dyDescent="0.25">
      <c r="A18" s="9" t="s">
        <v>350</v>
      </c>
      <c r="B18" s="9" t="s">
        <v>352</v>
      </c>
      <c r="C18" s="9" t="s">
        <v>351</v>
      </c>
      <c r="D18" s="9" t="s">
        <v>641</v>
      </c>
    </row>
    <row r="19" spans="1:4" x14ac:dyDescent="0.25">
      <c r="A19" s="9" t="s">
        <v>628</v>
      </c>
      <c r="B19" s="9" t="s">
        <v>634</v>
      </c>
      <c r="C19" s="9" t="s">
        <v>629</v>
      </c>
      <c r="D19" s="9" t="s">
        <v>641</v>
      </c>
    </row>
    <row r="20" spans="1:4" x14ac:dyDescent="0.25">
      <c r="A20" s="9" t="s">
        <v>26</v>
      </c>
      <c r="B20" s="9" t="s">
        <v>280</v>
      </c>
      <c r="C20" s="9" t="s">
        <v>279</v>
      </c>
      <c r="D20" s="9" t="s">
        <v>641</v>
      </c>
    </row>
    <row r="21" spans="1:4" x14ac:dyDescent="0.25">
      <c r="A21" s="9" t="s">
        <v>269</v>
      </c>
      <c r="B21" s="9" t="s">
        <v>271</v>
      </c>
      <c r="C21" s="9" t="s">
        <v>270</v>
      </c>
      <c r="D21" s="9" t="s">
        <v>641</v>
      </c>
    </row>
    <row r="22" spans="1:4" x14ac:dyDescent="0.25">
      <c r="A22" s="9" t="s">
        <v>125</v>
      </c>
      <c r="B22" s="9" t="s">
        <v>124</v>
      </c>
      <c r="C22" s="9" t="s">
        <v>126</v>
      </c>
      <c r="D22" s="9" t="s">
        <v>641</v>
      </c>
    </row>
    <row r="23" spans="1:4" x14ac:dyDescent="0.25">
      <c r="A23" s="9" t="s">
        <v>140</v>
      </c>
      <c r="B23" s="9" t="s">
        <v>308</v>
      </c>
      <c r="C23" s="9" t="s">
        <v>141</v>
      </c>
      <c r="D23" s="9" t="s">
        <v>641</v>
      </c>
    </row>
    <row r="24" spans="1:4" x14ac:dyDescent="0.25">
      <c r="A24" s="9" t="s">
        <v>135</v>
      </c>
      <c r="B24" s="9" t="s">
        <v>213</v>
      </c>
      <c r="C24" s="9" t="s">
        <v>136</v>
      </c>
      <c r="D24" s="9" t="s">
        <v>641</v>
      </c>
    </row>
    <row r="25" spans="1:4" x14ac:dyDescent="0.25">
      <c r="A25" s="9" t="s">
        <v>27</v>
      </c>
      <c r="B25" s="9" t="s">
        <v>373</v>
      </c>
      <c r="C25" s="9" t="s">
        <v>199</v>
      </c>
      <c r="D25" s="9" t="s">
        <v>641</v>
      </c>
    </row>
    <row r="26" spans="1:4" x14ac:dyDescent="0.25">
      <c r="A26" s="9" t="s">
        <v>302</v>
      </c>
      <c r="B26" s="9" t="s">
        <v>305</v>
      </c>
      <c r="C26" s="9" t="s">
        <v>303</v>
      </c>
      <c r="D26" s="9" t="s">
        <v>641</v>
      </c>
    </row>
    <row r="27" spans="1:4" x14ac:dyDescent="0.25">
      <c r="A27" s="9" t="s">
        <v>326</v>
      </c>
      <c r="B27" s="9" t="s">
        <v>328</v>
      </c>
      <c r="C27" s="9" t="s">
        <v>327</v>
      </c>
      <c r="D27" s="9" t="s">
        <v>641</v>
      </c>
    </row>
    <row r="28" spans="1:4" x14ac:dyDescent="0.25">
      <c r="A28" s="9" t="s">
        <v>622</v>
      </c>
      <c r="B28" s="9" t="s">
        <v>624</v>
      </c>
      <c r="C28" s="9" t="s">
        <v>623</v>
      </c>
      <c r="D28" s="9" t="s">
        <v>641</v>
      </c>
    </row>
    <row r="29" spans="1:4" x14ac:dyDescent="0.25">
      <c r="A29" s="9" t="s">
        <v>285</v>
      </c>
      <c r="B29" s="9" t="s">
        <v>287</v>
      </c>
      <c r="C29" s="9" t="s">
        <v>286</v>
      </c>
      <c r="D29" s="9" t="s">
        <v>641</v>
      </c>
    </row>
    <row r="30" spans="1:4" x14ac:dyDescent="0.25">
      <c r="A30" s="9" t="s">
        <v>29</v>
      </c>
      <c r="B30" s="9" t="s">
        <v>28</v>
      </c>
      <c r="C30" s="9" t="s">
        <v>137</v>
      </c>
      <c r="D30" s="9" t="s">
        <v>641</v>
      </c>
    </row>
    <row r="31" spans="1:4" x14ac:dyDescent="0.25">
      <c r="A31" s="9" t="s">
        <v>602</v>
      </c>
      <c r="B31" s="9" t="s">
        <v>603</v>
      </c>
      <c r="C31" s="9" t="s">
        <v>604</v>
      </c>
      <c r="D31" s="9" t="s">
        <v>641</v>
      </c>
    </row>
    <row r="32" spans="1:4" x14ac:dyDescent="0.25">
      <c r="A32" s="9" t="s">
        <v>320</v>
      </c>
      <c r="B32" s="9" t="s">
        <v>280</v>
      </c>
      <c r="C32" s="9" t="s">
        <v>279</v>
      </c>
      <c r="D32" s="9" t="s">
        <v>641</v>
      </c>
    </row>
    <row r="33" spans="1:4" x14ac:dyDescent="0.25">
      <c r="A33" s="9" t="s">
        <v>597</v>
      </c>
      <c r="B33" s="9" t="s">
        <v>599</v>
      </c>
      <c r="C33" s="9" t="s">
        <v>598</v>
      </c>
      <c r="D33" s="9" t="s">
        <v>641</v>
      </c>
    </row>
    <row r="34" spans="1:4" x14ac:dyDescent="0.25">
      <c r="A34" s="9" t="s">
        <v>613</v>
      </c>
      <c r="B34" s="9" t="s">
        <v>614</v>
      </c>
      <c r="C34" s="9" t="s">
        <v>615</v>
      </c>
      <c r="D34" s="9" t="s">
        <v>641</v>
      </c>
    </row>
    <row r="35" spans="1:4" x14ac:dyDescent="0.25">
      <c r="A35" s="9" t="s">
        <v>196</v>
      </c>
      <c r="B35" s="9" t="s">
        <v>31</v>
      </c>
      <c r="C35" s="9" t="s">
        <v>197</v>
      </c>
      <c r="D35" s="9" t="s">
        <v>641</v>
      </c>
    </row>
    <row r="36" spans="1:4" x14ac:dyDescent="0.25">
      <c r="A36" s="9" t="s">
        <v>467</v>
      </c>
      <c r="B36" s="9" t="s">
        <v>469</v>
      </c>
      <c r="C36" s="9" t="s">
        <v>468</v>
      </c>
      <c r="D36" s="9" t="s">
        <v>641</v>
      </c>
    </row>
    <row r="37" spans="1:4" x14ac:dyDescent="0.25">
      <c r="A37" s="9" t="s">
        <v>150</v>
      </c>
      <c r="B37" s="9" t="s">
        <v>224</v>
      </c>
      <c r="C37" s="9" t="s">
        <v>440</v>
      </c>
      <c r="D37" s="9" t="s">
        <v>641</v>
      </c>
    </row>
    <row r="38" spans="1:4" x14ac:dyDescent="0.25">
      <c r="A38" s="9" t="s">
        <v>291</v>
      </c>
      <c r="B38" s="9" t="s">
        <v>22</v>
      </c>
      <c r="C38" s="9" t="s">
        <v>292</v>
      </c>
      <c r="D38" s="9" t="s">
        <v>641</v>
      </c>
    </row>
    <row r="39" spans="1:4" x14ac:dyDescent="0.25">
      <c r="A39" s="9" t="s">
        <v>193</v>
      </c>
      <c r="B39" s="9" t="s">
        <v>413</v>
      </c>
      <c r="C39" s="9" t="s">
        <v>412</v>
      </c>
      <c r="D39" s="9" t="s">
        <v>641</v>
      </c>
    </row>
    <row r="40" spans="1:4" x14ac:dyDescent="0.25">
      <c r="A40" s="9" t="s">
        <v>536</v>
      </c>
      <c r="B40" s="9" t="s">
        <v>538</v>
      </c>
      <c r="C40" s="9" t="s">
        <v>537</v>
      </c>
      <c r="D40" s="9" t="s">
        <v>641</v>
      </c>
    </row>
    <row r="41" spans="1:4" x14ac:dyDescent="0.25">
      <c r="A41" s="9" t="s">
        <v>369</v>
      </c>
      <c r="B41" s="9" t="s">
        <v>371</v>
      </c>
      <c r="C41" s="9" t="s">
        <v>370</v>
      </c>
      <c r="D41" s="9" t="s">
        <v>641</v>
      </c>
    </row>
    <row r="42" spans="1:4" x14ac:dyDescent="0.25">
      <c r="A42" s="9" t="s">
        <v>391</v>
      </c>
      <c r="B42" s="9" t="s">
        <v>393</v>
      </c>
      <c r="C42" s="9" t="s">
        <v>392</v>
      </c>
      <c r="D42" s="9" t="s">
        <v>641</v>
      </c>
    </row>
    <row r="43" spans="1:4" x14ac:dyDescent="0.25">
      <c r="A43" s="9" t="s">
        <v>33</v>
      </c>
      <c r="B43" s="9" t="s">
        <v>32</v>
      </c>
      <c r="C43" s="9" t="s">
        <v>34</v>
      </c>
      <c r="D43" s="9" t="s">
        <v>641</v>
      </c>
    </row>
    <row r="44" spans="1:4" x14ac:dyDescent="0.25">
      <c r="A44" s="9" t="s">
        <v>36</v>
      </c>
      <c r="B44" s="9" t="s">
        <v>35</v>
      </c>
      <c r="C44" s="9" t="s">
        <v>37</v>
      </c>
      <c r="D44" s="9" t="s">
        <v>641</v>
      </c>
    </row>
    <row r="45" spans="1:4" x14ac:dyDescent="0.25">
      <c r="A45" s="9" t="s">
        <v>161</v>
      </c>
      <c r="B45" s="9" t="s">
        <v>38</v>
      </c>
      <c r="C45" s="9" t="s">
        <v>39</v>
      </c>
      <c r="D45" s="9" t="s">
        <v>641</v>
      </c>
    </row>
    <row r="46" spans="1:4" x14ac:dyDescent="0.25">
      <c r="A46" s="9" t="s">
        <v>493</v>
      </c>
      <c r="B46" s="9" t="s">
        <v>496</v>
      </c>
      <c r="C46" s="9" t="s">
        <v>494</v>
      </c>
      <c r="D46" s="9" t="s">
        <v>641</v>
      </c>
    </row>
    <row r="47" spans="1:4" x14ac:dyDescent="0.25">
      <c r="A47" s="9" t="s">
        <v>939</v>
      </c>
      <c r="B47" s="9" t="s">
        <v>940</v>
      </c>
      <c r="C47" s="9" t="s">
        <v>415</v>
      </c>
      <c r="D47" s="9" t="s">
        <v>641</v>
      </c>
    </row>
    <row r="48" spans="1:4" x14ac:dyDescent="0.25">
      <c r="A48" s="9" t="s">
        <v>463</v>
      </c>
      <c r="B48" s="9" t="s">
        <v>466</v>
      </c>
      <c r="C48" s="9" t="s">
        <v>464</v>
      </c>
      <c r="D48" s="9" t="s">
        <v>641</v>
      </c>
    </row>
    <row r="49" spans="1:4" x14ac:dyDescent="0.25">
      <c r="A49" s="9" t="s">
        <v>173</v>
      </c>
      <c r="B49" s="9" t="s">
        <v>40</v>
      </c>
      <c r="C49" s="9" t="s">
        <v>40</v>
      </c>
      <c r="D49" s="9" t="s">
        <v>641</v>
      </c>
    </row>
    <row r="50" spans="1:4" x14ac:dyDescent="0.25">
      <c r="A50" s="9" t="s">
        <v>397</v>
      </c>
      <c r="B50" s="9" t="s">
        <v>400</v>
      </c>
      <c r="C50" s="9" t="s">
        <v>398</v>
      </c>
      <c r="D50" s="9" t="s">
        <v>641</v>
      </c>
    </row>
    <row r="51" spans="1:4" x14ac:dyDescent="0.25">
      <c r="A51" s="9" t="s">
        <v>152</v>
      </c>
      <c r="B51" s="9" t="s">
        <v>42</v>
      </c>
      <c r="C51" s="9" t="s">
        <v>202</v>
      </c>
      <c r="D51" s="9" t="s">
        <v>641</v>
      </c>
    </row>
    <row r="52" spans="1:4" x14ac:dyDescent="0.25">
      <c r="A52" s="9" t="s">
        <v>298</v>
      </c>
      <c r="B52" s="9" t="s">
        <v>43</v>
      </c>
      <c r="C52" s="9" t="s">
        <v>299</v>
      </c>
      <c r="D52" s="9" t="s">
        <v>641</v>
      </c>
    </row>
    <row r="53" spans="1:4" x14ac:dyDescent="0.25">
      <c r="A53" s="9" t="s">
        <v>143</v>
      </c>
      <c r="B53" s="9" t="s">
        <v>145</v>
      </c>
      <c r="C53" s="9" t="s">
        <v>144</v>
      </c>
      <c r="D53" s="9" t="s">
        <v>641</v>
      </c>
    </row>
    <row r="54" spans="1:4" x14ac:dyDescent="0.25">
      <c r="A54" s="9" t="s">
        <v>443</v>
      </c>
      <c r="B54" s="9" t="s">
        <v>445</v>
      </c>
      <c r="C54" s="9" t="s">
        <v>444</v>
      </c>
      <c r="D54" s="9" t="s">
        <v>641</v>
      </c>
    </row>
    <row r="55" spans="1:4" x14ac:dyDescent="0.25">
      <c r="A55" s="9" t="s">
        <v>359</v>
      </c>
      <c r="B55" s="9" t="s">
        <v>362</v>
      </c>
      <c r="C55" s="9" t="s">
        <v>360</v>
      </c>
      <c r="D55" s="9" t="s">
        <v>641</v>
      </c>
    </row>
    <row r="56" spans="1:4" x14ac:dyDescent="0.25">
      <c r="A56" s="9" t="s">
        <v>560</v>
      </c>
      <c r="B56" s="9" t="s">
        <v>561</v>
      </c>
      <c r="C56" s="9" t="s">
        <v>562</v>
      </c>
      <c r="D56" s="9" t="s">
        <v>641</v>
      </c>
    </row>
    <row r="57" spans="1:4" x14ac:dyDescent="0.25">
      <c r="A57" s="9" t="s">
        <v>45</v>
      </c>
      <c r="B57" s="9" t="s">
        <v>44</v>
      </c>
      <c r="C57" s="9" t="s">
        <v>46</v>
      </c>
      <c r="D57" s="9" t="s">
        <v>641</v>
      </c>
    </row>
    <row r="58" spans="1:4" x14ac:dyDescent="0.25">
      <c r="A58" s="9" t="s">
        <v>309</v>
      </c>
      <c r="B58" s="9" t="s">
        <v>312</v>
      </c>
      <c r="C58" s="9" t="s">
        <v>310</v>
      </c>
      <c r="D58" s="9" t="s">
        <v>641</v>
      </c>
    </row>
    <row r="59" spans="1:4" x14ac:dyDescent="0.25">
      <c r="A59" s="9" t="s">
        <v>47</v>
      </c>
      <c r="B59" s="9" t="s">
        <v>410</v>
      </c>
      <c r="C59" s="9" t="s">
        <v>48</v>
      </c>
      <c r="D59" s="9" t="s">
        <v>641</v>
      </c>
    </row>
    <row r="60" spans="1:4" x14ac:dyDescent="0.25">
      <c r="A60" s="9" t="s">
        <v>165</v>
      </c>
      <c r="B60" s="9" t="s">
        <v>49</v>
      </c>
      <c r="C60" s="9" t="s">
        <v>255</v>
      </c>
      <c r="D60" s="9" t="s">
        <v>641</v>
      </c>
    </row>
    <row r="61" spans="1:4" x14ac:dyDescent="0.25">
      <c r="A61" s="9" t="s">
        <v>317</v>
      </c>
      <c r="B61" s="9" t="s">
        <v>319</v>
      </c>
      <c r="C61" s="9" t="s">
        <v>318</v>
      </c>
      <c r="D61" s="9" t="s">
        <v>641</v>
      </c>
    </row>
    <row r="62" spans="1:4" x14ac:dyDescent="0.25">
      <c r="A62" s="9" t="s">
        <v>231</v>
      </c>
      <c r="B62" s="9" t="s">
        <v>233</v>
      </c>
      <c r="C62" s="9" t="s">
        <v>232</v>
      </c>
      <c r="D62" s="9" t="s">
        <v>641</v>
      </c>
    </row>
    <row r="63" spans="1:4" x14ac:dyDescent="0.25">
      <c r="A63" s="9" t="s">
        <v>591</v>
      </c>
      <c r="B63" s="9" t="s">
        <v>593</v>
      </c>
      <c r="C63" s="9" t="s">
        <v>592</v>
      </c>
      <c r="D63" s="9" t="s">
        <v>641</v>
      </c>
    </row>
    <row r="64" spans="1:4" x14ac:dyDescent="0.25">
      <c r="A64" s="9" t="s">
        <v>51</v>
      </c>
      <c r="B64" s="9" t="s">
        <v>50</v>
      </c>
      <c r="C64" s="9" t="s">
        <v>52</v>
      </c>
      <c r="D64" s="9" t="s">
        <v>641</v>
      </c>
    </row>
    <row r="65" spans="1:4" x14ac:dyDescent="0.25">
      <c r="A65" s="9" t="s">
        <v>53</v>
      </c>
      <c r="B65" s="9" t="s">
        <v>153</v>
      </c>
      <c r="C65" s="9" t="s">
        <v>54</v>
      </c>
      <c r="D65" s="9" t="s">
        <v>641</v>
      </c>
    </row>
    <row r="66" spans="1:4" x14ac:dyDescent="0.25">
      <c r="A66" s="9" t="s">
        <v>56</v>
      </c>
      <c r="B66" s="9" t="s">
        <v>55</v>
      </c>
      <c r="C66" s="9" t="s">
        <v>57</v>
      </c>
      <c r="D66" s="9" t="s">
        <v>641</v>
      </c>
    </row>
    <row r="67" spans="1:4" x14ac:dyDescent="0.25">
      <c r="A67" s="9" t="s">
        <v>451</v>
      </c>
      <c r="B67" s="9" t="s">
        <v>453</v>
      </c>
      <c r="C67" s="9" t="s">
        <v>452</v>
      </c>
      <c r="D67" s="9" t="s">
        <v>641</v>
      </c>
    </row>
    <row r="68" spans="1:4" x14ac:dyDescent="0.25">
      <c r="A68" s="9" t="s">
        <v>335</v>
      </c>
      <c r="B68" s="9" t="s">
        <v>338</v>
      </c>
      <c r="C68" s="9" t="s">
        <v>336</v>
      </c>
      <c r="D68" s="9" t="s">
        <v>641</v>
      </c>
    </row>
    <row r="69" spans="1:4" x14ac:dyDescent="0.25">
      <c r="A69" s="9" t="s">
        <v>142</v>
      </c>
      <c r="B69" s="9" t="s">
        <v>223</v>
      </c>
      <c r="C69" s="9" t="s">
        <v>61</v>
      </c>
      <c r="D69" s="9" t="s">
        <v>641</v>
      </c>
    </row>
    <row r="70" spans="1:4" x14ac:dyDescent="0.25">
      <c r="A70" s="9" t="s">
        <v>62</v>
      </c>
      <c r="B70" s="9" t="s">
        <v>229</v>
      </c>
      <c r="C70" s="9" t="s">
        <v>63</v>
      </c>
      <c r="D70" s="9" t="s">
        <v>641</v>
      </c>
    </row>
    <row r="71" spans="1:4" x14ac:dyDescent="0.25">
      <c r="A71" s="9" t="s">
        <v>500</v>
      </c>
      <c r="B71" s="9" t="s">
        <v>502</v>
      </c>
      <c r="C71" s="9" t="s">
        <v>501</v>
      </c>
      <c r="D71" s="9" t="s">
        <v>641</v>
      </c>
    </row>
    <row r="72" spans="1:4" x14ac:dyDescent="0.25">
      <c r="A72" s="9" t="s">
        <v>203</v>
      </c>
      <c r="B72" s="9" t="s">
        <v>205</v>
      </c>
      <c r="C72" s="9" t="s">
        <v>204</v>
      </c>
      <c r="D72" s="9" t="s">
        <v>641</v>
      </c>
    </row>
    <row r="73" spans="1:4" x14ac:dyDescent="0.25">
      <c r="A73" s="9" t="s">
        <v>174</v>
      </c>
      <c r="B73" s="9" t="s">
        <v>64</v>
      </c>
      <c r="C73" s="9" t="s">
        <v>244</v>
      </c>
      <c r="D73" s="9" t="s">
        <v>641</v>
      </c>
    </row>
    <row r="74" spans="1:4" x14ac:dyDescent="0.25">
      <c r="A74" s="9" t="s">
        <v>66</v>
      </c>
      <c r="B74" s="9" t="s">
        <v>65</v>
      </c>
      <c r="C74" s="9" t="s">
        <v>67</v>
      </c>
      <c r="D74" s="9" t="s">
        <v>641</v>
      </c>
    </row>
    <row r="75" spans="1:4" x14ac:dyDescent="0.25">
      <c r="A75" s="9" t="s">
        <v>637</v>
      </c>
      <c r="B75" s="9" t="s">
        <v>639</v>
      </c>
      <c r="C75" s="9" t="s">
        <v>638</v>
      </c>
      <c r="D75" s="9" t="s">
        <v>641</v>
      </c>
    </row>
    <row r="76" spans="1:4" x14ac:dyDescent="0.25">
      <c r="A76" s="9" t="s">
        <v>259</v>
      </c>
      <c r="B76" s="9" t="s">
        <v>401</v>
      </c>
      <c r="C76" s="9" t="s">
        <v>260</v>
      </c>
      <c r="D76" s="9" t="s">
        <v>641</v>
      </c>
    </row>
    <row r="77" spans="1:4" x14ac:dyDescent="0.25">
      <c r="A77" s="9" t="s">
        <v>267</v>
      </c>
      <c r="B77" s="9" t="s">
        <v>334</v>
      </c>
      <c r="C77" s="9" t="s">
        <v>268</v>
      </c>
      <c r="D77" s="9" t="s">
        <v>641</v>
      </c>
    </row>
    <row r="78" spans="1:4" x14ac:dyDescent="0.25">
      <c r="A78" s="9" t="s">
        <v>611</v>
      </c>
      <c r="B78" s="9" t="s">
        <v>612</v>
      </c>
      <c r="C78" s="9" t="s">
        <v>642</v>
      </c>
      <c r="D78" s="9" t="s">
        <v>641</v>
      </c>
    </row>
    <row r="79" spans="1:4" x14ac:dyDescent="0.25">
      <c r="A79" s="9" t="s">
        <v>69</v>
      </c>
      <c r="B79" s="9" t="s">
        <v>68</v>
      </c>
      <c r="C79" s="9" t="s">
        <v>70</v>
      </c>
      <c r="D79" s="9" t="s">
        <v>641</v>
      </c>
    </row>
    <row r="80" spans="1:4" x14ac:dyDescent="0.25">
      <c r="A80" s="9" t="s">
        <v>210</v>
      </c>
      <c r="B80" s="9" t="s">
        <v>252</v>
      </c>
      <c r="C80" s="9" t="s">
        <v>225</v>
      </c>
      <c r="D80" s="9" t="s">
        <v>641</v>
      </c>
    </row>
    <row r="81" spans="1:4" x14ac:dyDescent="0.25">
      <c r="A81" s="9" t="s">
        <v>388</v>
      </c>
      <c r="B81" s="9" t="s">
        <v>390</v>
      </c>
      <c r="C81" s="9" t="s">
        <v>389</v>
      </c>
      <c r="D81" s="9" t="s">
        <v>641</v>
      </c>
    </row>
    <row r="82" spans="1:4" x14ac:dyDescent="0.25">
      <c r="A82" s="9" t="s">
        <v>512</v>
      </c>
      <c r="B82" s="9" t="s">
        <v>514</v>
      </c>
      <c r="C82" s="9" t="s">
        <v>513</v>
      </c>
      <c r="D82" s="9" t="s">
        <v>641</v>
      </c>
    </row>
    <row r="83" spans="1:4" x14ac:dyDescent="0.25">
      <c r="A83" s="9" t="s">
        <v>539</v>
      </c>
      <c r="B83" s="9" t="s">
        <v>545</v>
      </c>
      <c r="C83" s="9" t="s">
        <v>540</v>
      </c>
      <c r="D83" s="9" t="s">
        <v>641</v>
      </c>
    </row>
    <row r="84" spans="1:4" x14ac:dyDescent="0.25">
      <c r="A84" s="9" t="s">
        <v>73</v>
      </c>
      <c r="B84" s="9" t="s">
        <v>219</v>
      </c>
      <c r="C84" s="9" t="s">
        <v>74</v>
      </c>
      <c r="D84" s="9" t="s">
        <v>641</v>
      </c>
    </row>
    <row r="85" spans="1:4" x14ac:dyDescent="0.25">
      <c r="A85" s="9" t="s">
        <v>164</v>
      </c>
      <c r="B85" s="9" t="s">
        <v>220</v>
      </c>
      <c r="C85" s="9" t="s">
        <v>75</v>
      </c>
      <c r="D85" s="9" t="s">
        <v>641</v>
      </c>
    </row>
    <row r="86" spans="1:4" x14ac:dyDescent="0.25">
      <c r="A86" s="9" t="s">
        <v>146</v>
      </c>
      <c r="B86" s="9" t="s">
        <v>76</v>
      </c>
      <c r="C86" s="9" t="s">
        <v>77</v>
      </c>
      <c r="D86" s="9" t="s">
        <v>641</v>
      </c>
    </row>
    <row r="87" spans="1:4" x14ac:dyDescent="0.25">
      <c r="A87" s="9" t="s">
        <v>426</v>
      </c>
      <c r="B87" s="9" t="s">
        <v>429</v>
      </c>
      <c r="C87" s="9" t="s">
        <v>427</v>
      </c>
      <c r="D87" s="9" t="s">
        <v>641</v>
      </c>
    </row>
    <row r="88" spans="1:4" x14ac:dyDescent="0.25">
      <c r="A88" s="9" t="s">
        <v>169</v>
      </c>
      <c r="B88" s="9" t="s">
        <v>78</v>
      </c>
      <c r="C88" s="9" t="s">
        <v>265</v>
      </c>
      <c r="D88" s="9" t="s">
        <v>641</v>
      </c>
    </row>
    <row r="89" spans="1:4" x14ac:dyDescent="0.25">
      <c r="A89" s="9" t="s">
        <v>306</v>
      </c>
      <c r="B89" s="9" t="s">
        <v>316</v>
      </c>
      <c r="C89" s="9" t="s">
        <v>314</v>
      </c>
      <c r="D89" s="9" t="s">
        <v>641</v>
      </c>
    </row>
    <row r="90" spans="1:4" x14ac:dyDescent="0.25">
      <c r="A90" s="9" t="s">
        <v>503</v>
      </c>
      <c r="B90" s="9" t="s">
        <v>506</v>
      </c>
      <c r="C90" s="9" t="s">
        <v>504</v>
      </c>
      <c r="D90" s="9" t="s">
        <v>641</v>
      </c>
    </row>
    <row r="91" spans="1:4" x14ac:dyDescent="0.25">
      <c r="A91" s="9" t="s">
        <v>343</v>
      </c>
      <c r="B91" s="9" t="s">
        <v>346</v>
      </c>
      <c r="C91" s="9" t="s">
        <v>344</v>
      </c>
      <c r="D91" s="9" t="s">
        <v>641</v>
      </c>
    </row>
    <row r="92" spans="1:4" x14ac:dyDescent="0.25">
      <c r="A92" s="9" t="s">
        <v>162</v>
      </c>
      <c r="B92" s="9" t="s">
        <v>218</v>
      </c>
      <c r="C92" s="9" t="s">
        <v>79</v>
      </c>
      <c r="D92" s="9" t="s">
        <v>641</v>
      </c>
    </row>
    <row r="93" spans="1:4" x14ac:dyDescent="0.25">
      <c r="A93" s="9" t="s">
        <v>190</v>
      </c>
      <c r="B93" s="9" t="s">
        <v>189</v>
      </c>
      <c r="C93" s="9" t="s">
        <v>195</v>
      </c>
      <c r="D93" s="9" t="s">
        <v>641</v>
      </c>
    </row>
    <row r="94" spans="1:4" x14ac:dyDescent="0.25">
      <c r="A94" s="9" t="s">
        <v>80</v>
      </c>
      <c r="B94" s="9" t="s">
        <v>295</v>
      </c>
      <c r="C94" s="9" t="s">
        <v>414</v>
      </c>
      <c r="D94" s="9" t="s">
        <v>641</v>
      </c>
    </row>
    <row r="95" spans="1:4" x14ac:dyDescent="0.25">
      <c r="A95" s="9" t="s">
        <v>21</v>
      </c>
      <c r="B95" s="9" t="s">
        <v>20</v>
      </c>
      <c r="C95" s="9" t="s">
        <v>281</v>
      </c>
      <c r="D95" s="9" t="s">
        <v>641</v>
      </c>
    </row>
    <row r="96" spans="1:4" x14ac:dyDescent="0.25">
      <c r="A96" s="9" t="s">
        <v>289</v>
      </c>
      <c r="B96" s="9" t="s">
        <v>294</v>
      </c>
      <c r="C96" s="9" t="s">
        <v>301</v>
      </c>
      <c r="D96" s="9" t="s">
        <v>641</v>
      </c>
    </row>
    <row r="97" spans="1:4" x14ac:dyDescent="0.25">
      <c r="A97" s="9" t="s">
        <v>296</v>
      </c>
      <c r="B97" s="9" t="s">
        <v>441</v>
      </c>
      <c r="C97" s="9" t="s">
        <v>297</v>
      </c>
      <c r="D97" s="9" t="s">
        <v>641</v>
      </c>
    </row>
    <row r="98" spans="1:4" x14ac:dyDescent="0.25">
      <c r="A98" s="9" t="s">
        <v>355</v>
      </c>
      <c r="B98" s="9" t="s">
        <v>356</v>
      </c>
      <c r="C98" s="9" t="s">
        <v>297</v>
      </c>
      <c r="D98" s="9" t="s">
        <v>641</v>
      </c>
    </row>
    <row r="99" spans="1:4" x14ac:dyDescent="0.25">
      <c r="A99" s="9" t="s">
        <v>643</v>
      </c>
      <c r="B99" s="9" t="s">
        <v>644</v>
      </c>
      <c r="C99" s="9" t="s">
        <v>645</v>
      </c>
      <c r="D99" s="9" t="s">
        <v>641</v>
      </c>
    </row>
    <row r="100" spans="1:4" x14ac:dyDescent="0.25">
      <c r="A100" s="9" t="s">
        <v>82</v>
      </c>
      <c r="B100" s="9" t="s">
        <v>358</v>
      </c>
      <c r="C100" s="9" t="s">
        <v>257</v>
      </c>
      <c r="D100" s="9" t="s">
        <v>641</v>
      </c>
    </row>
    <row r="101" spans="1:4" x14ac:dyDescent="0.25">
      <c r="A101" s="9" t="s">
        <v>131</v>
      </c>
      <c r="B101" s="9" t="s">
        <v>214</v>
      </c>
      <c r="C101" s="9" t="s">
        <v>238</v>
      </c>
      <c r="D101" s="9" t="s">
        <v>641</v>
      </c>
    </row>
    <row r="102" spans="1:4" x14ac:dyDescent="0.25">
      <c r="A102" s="9" t="s">
        <v>211</v>
      </c>
      <c r="B102" s="9" t="s">
        <v>228</v>
      </c>
      <c r="C102" s="9" t="s">
        <v>227</v>
      </c>
      <c r="D102" s="9" t="s">
        <v>641</v>
      </c>
    </row>
    <row r="103" spans="1:4" x14ac:dyDescent="0.25">
      <c r="A103" s="9" t="s">
        <v>133</v>
      </c>
      <c r="B103" s="9" t="s">
        <v>212</v>
      </c>
      <c r="C103" s="9" t="s">
        <v>134</v>
      </c>
      <c r="D103" s="9" t="s">
        <v>641</v>
      </c>
    </row>
    <row r="104" spans="1:4" x14ac:dyDescent="0.25">
      <c r="A104" s="9" t="s">
        <v>380</v>
      </c>
      <c r="B104" s="9" t="s">
        <v>383</v>
      </c>
      <c r="C104" s="9" t="s">
        <v>381</v>
      </c>
      <c r="D104" s="9" t="s">
        <v>641</v>
      </c>
    </row>
    <row r="105" spans="1:4" x14ac:dyDescent="0.25">
      <c r="A105" s="9" t="s">
        <v>384</v>
      </c>
      <c r="B105" s="9" t="s">
        <v>387</v>
      </c>
      <c r="C105" s="9" t="s">
        <v>385</v>
      </c>
      <c r="D105" s="9" t="s">
        <v>641</v>
      </c>
    </row>
    <row r="106" spans="1:4" x14ac:dyDescent="0.25">
      <c r="A106" s="9" t="s">
        <v>83</v>
      </c>
      <c r="B106" s="9" t="s">
        <v>208</v>
      </c>
      <c r="C106" s="9" t="s">
        <v>206</v>
      </c>
      <c r="D106" s="9" t="s">
        <v>641</v>
      </c>
    </row>
    <row r="107" spans="1:4" x14ac:dyDescent="0.25">
      <c r="A107" s="9" t="s">
        <v>395</v>
      </c>
      <c r="B107" s="9" t="s">
        <v>406</v>
      </c>
      <c r="C107" s="9" t="s">
        <v>396</v>
      </c>
      <c r="D107" s="9" t="s">
        <v>641</v>
      </c>
    </row>
    <row r="108" spans="1:4" x14ac:dyDescent="0.25">
      <c r="A108" s="9" t="s">
        <v>275</v>
      </c>
      <c r="B108" s="9" t="s">
        <v>278</v>
      </c>
      <c r="C108" s="9" t="s">
        <v>276</v>
      </c>
      <c r="D108" s="9" t="s">
        <v>641</v>
      </c>
    </row>
    <row r="109" spans="1:4" x14ac:dyDescent="0.25">
      <c r="A109" s="9" t="s">
        <v>272</v>
      </c>
      <c r="B109" s="9" t="s">
        <v>357</v>
      </c>
      <c r="C109" s="9" t="s">
        <v>273</v>
      </c>
      <c r="D109" s="9" t="s">
        <v>641</v>
      </c>
    </row>
    <row r="110" spans="1:4" x14ac:dyDescent="0.25">
      <c r="A110" s="9" t="s">
        <v>179</v>
      </c>
      <c r="B110" s="9" t="s">
        <v>84</v>
      </c>
      <c r="C110" s="9" t="s">
        <v>85</v>
      </c>
      <c r="D110" s="9" t="s">
        <v>641</v>
      </c>
    </row>
    <row r="111" spans="1:4" x14ac:dyDescent="0.25">
      <c r="A111" s="9" t="s">
        <v>407</v>
      </c>
      <c r="B111" s="9" t="s">
        <v>409</v>
      </c>
      <c r="C111" s="9" t="s">
        <v>408</v>
      </c>
      <c r="D111" s="9" t="s">
        <v>641</v>
      </c>
    </row>
    <row r="112" spans="1:4" x14ac:dyDescent="0.25">
      <c r="A112" s="9" t="s">
        <v>347</v>
      </c>
      <c r="B112" s="9" t="s">
        <v>349</v>
      </c>
      <c r="C112" s="9" t="s">
        <v>348</v>
      </c>
      <c r="D112" s="9" t="s">
        <v>641</v>
      </c>
    </row>
    <row r="113" spans="1:4" x14ac:dyDescent="0.25">
      <c r="A113" s="9" t="s">
        <v>87</v>
      </c>
      <c r="B113" s="9" t="s">
        <v>86</v>
      </c>
      <c r="C113" s="9" t="s">
        <v>234</v>
      </c>
      <c r="D113" s="9" t="s">
        <v>641</v>
      </c>
    </row>
    <row r="114" spans="1:4" x14ac:dyDescent="0.25">
      <c r="A114" s="9" t="s">
        <v>339</v>
      </c>
      <c r="B114" s="9" t="s">
        <v>342</v>
      </c>
      <c r="C114" s="9" t="s">
        <v>340</v>
      </c>
      <c r="D114" s="9" t="s">
        <v>641</v>
      </c>
    </row>
    <row r="115" spans="1:4" x14ac:dyDescent="0.25">
      <c r="A115" s="9" t="s">
        <v>454</v>
      </c>
      <c r="B115" s="9" t="s">
        <v>456</v>
      </c>
      <c r="C115" s="9" t="s">
        <v>455</v>
      </c>
      <c r="D115" s="9" t="s">
        <v>641</v>
      </c>
    </row>
    <row r="116" spans="1:4" x14ac:dyDescent="0.25">
      <c r="A116" s="9" t="s">
        <v>89</v>
      </c>
      <c r="B116" s="9" t="s">
        <v>88</v>
      </c>
      <c r="C116" s="9" t="s">
        <v>254</v>
      </c>
      <c r="D116" s="9" t="s">
        <v>641</v>
      </c>
    </row>
    <row r="117" spans="1:4" x14ac:dyDescent="0.25">
      <c r="A117" s="9" t="s">
        <v>91</v>
      </c>
      <c r="B117" s="9" t="s">
        <v>90</v>
      </c>
      <c r="C117" s="9" t="s">
        <v>253</v>
      </c>
      <c r="D117" s="9" t="s">
        <v>641</v>
      </c>
    </row>
    <row r="118" spans="1:4" x14ac:dyDescent="0.25">
      <c r="A118" s="9" t="s">
        <v>377</v>
      </c>
      <c r="B118" s="9" t="s">
        <v>379</v>
      </c>
      <c r="C118" s="9" t="s">
        <v>378</v>
      </c>
      <c r="D118" s="9" t="s">
        <v>641</v>
      </c>
    </row>
    <row r="119" spans="1:4" x14ac:dyDescent="0.25">
      <c r="A119" s="9" t="s">
        <v>93</v>
      </c>
      <c r="B119" s="9" t="s">
        <v>92</v>
      </c>
      <c r="C119" s="9" t="s">
        <v>94</v>
      </c>
      <c r="D119" s="9" t="s">
        <v>641</v>
      </c>
    </row>
    <row r="120" spans="1:4" x14ac:dyDescent="0.25">
      <c r="A120" s="9" t="s">
        <v>95</v>
      </c>
      <c r="B120" s="9" t="s">
        <v>313</v>
      </c>
      <c r="C120" s="9" t="s">
        <v>96</v>
      </c>
      <c r="D120" s="9" t="s">
        <v>641</v>
      </c>
    </row>
    <row r="121" spans="1:4" x14ac:dyDescent="0.25">
      <c r="A121" s="9" t="s">
        <v>459</v>
      </c>
      <c r="B121" s="9" t="s">
        <v>461</v>
      </c>
      <c r="C121" s="9" t="s">
        <v>460</v>
      </c>
      <c r="D121" s="9" t="s">
        <v>641</v>
      </c>
    </row>
    <row r="122" spans="1:4" x14ac:dyDescent="0.25">
      <c r="A122" s="9" t="s">
        <v>365</v>
      </c>
      <c r="B122" s="9" t="s">
        <v>368</v>
      </c>
      <c r="C122" s="9" t="s">
        <v>366</v>
      </c>
      <c r="D122" s="9" t="s">
        <v>641</v>
      </c>
    </row>
    <row r="123" spans="1:4" x14ac:dyDescent="0.25">
      <c r="A123" s="9" t="s">
        <v>563</v>
      </c>
      <c r="B123" s="9" t="s">
        <v>565</v>
      </c>
      <c r="C123" s="9" t="s">
        <v>564</v>
      </c>
      <c r="D123" s="9" t="s">
        <v>641</v>
      </c>
    </row>
    <row r="124" spans="1:4" x14ac:dyDescent="0.25">
      <c r="A124" s="9" t="s">
        <v>149</v>
      </c>
      <c r="B124" s="9" t="s">
        <v>217</v>
      </c>
      <c r="C124" s="9" t="s">
        <v>97</v>
      </c>
      <c r="D124" s="9" t="s">
        <v>641</v>
      </c>
    </row>
    <row r="125" spans="1:4" x14ac:dyDescent="0.25">
      <c r="A125" s="9" t="s">
        <v>147</v>
      </c>
      <c r="B125" s="9" t="s">
        <v>98</v>
      </c>
      <c r="C125" s="9" t="s">
        <v>148</v>
      </c>
      <c r="D125" s="9" t="s">
        <v>641</v>
      </c>
    </row>
    <row r="126" spans="1:4" x14ac:dyDescent="0.25">
      <c r="A126" s="9" t="s">
        <v>100</v>
      </c>
      <c r="B126" s="9" t="s">
        <v>99</v>
      </c>
      <c r="C126" s="9" t="s">
        <v>101</v>
      </c>
      <c r="D126" s="9" t="s">
        <v>641</v>
      </c>
    </row>
    <row r="127" spans="1:4" x14ac:dyDescent="0.25">
      <c r="A127" s="9" t="s">
        <v>160</v>
      </c>
      <c r="B127" s="9" t="s">
        <v>290</v>
      </c>
      <c r="C127" s="9" t="s">
        <v>102</v>
      </c>
      <c r="D127" s="9" t="s">
        <v>641</v>
      </c>
    </row>
    <row r="128" spans="1:4" x14ac:dyDescent="0.25">
      <c r="A128" s="9" t="s">
        <v>103</v>
      </c>
      <c r="B128" s="9" t="s">
        <v>300</v>
      </c>
      <c r="C128" s="9" t="s">
        <v>282</v>
      </c>
      <c r="D128" s="9" t="s">
        <v>641</v>
      </c>
    </row>
    <row r="129" spans="1:4" x14ac:dyDescent="0.25">
      <c r="A129" s="9" t="s">
        <v>154</v>
      </c>
      <c r="B129" s="9" t="s">
        <v>288</v>
      </c>
      <c r="C129" s="9" t="s">
        <v>104</v>
      </c>
      <c r="D129" s="9" t="s">
        <v>641</v>
      </c>
    </row>
    <row r="130" spans="1:4" x14ac:dyDescent="0.25">
      <c r="A130" s="9" t="s">
        <v>106</v>
      </c>
      <c r="B130" s="9" t="s">
        <v>1053</v>
      </c>
      <c r="C130" s="9" t="s">
        <v>107</v>
      </c>
      <c r="D130" s="9" t="s">
        <v>641</v>
      </c>
    </row>
    <row r="131" spans="1:4" x14ac:dyDescent="0.25">
      <c r="A131" s="9" t="s">
        <v>109</v>
      </c>
      <c r="B131" s="9" t="s">
        <v>108</v>
      </c>
      <c r="C131" s="9" t="s">
        <v>110</v>
      </c>
      <c r="D131" s="9" t="s">
        <v>641</v>
      </c>
    </row>
    <row r="132" spans="1:4" x14ac:dyDescent="0.25">
      <c r="A132" s="9" t="s">
        <v>112</v>
      </c>
      <c r="B132" s="9" t="s">
        <v>111</v>
      </c>
      <c r="C132" s="9" t="s">
        <v>113</v>
      </c>
      <c r="D132" s="9" t="s">
        <v>641</v>
      </c>
    </row>
    <row r="133" spans="1:4" x14ac:dyDescent="0.25">
      <c r="A133" s="9" t="s">
        <v>114</v>
      </c>
      <c r="B133" s="9" t="s">
        <v>221</v>
      </c>
      <c r="C133" s="9" t="s">
        <v>115</v>
      </c>
      <c r="D133" s="9" t="s">
        <v>641</v>
      </c>
    </row>
    <row r="134" spans="1:4" x14ac:dyDescent="0.25">
      <c r="A134" s="9" t="s">
        <v>617</v>
      </c>
      <c r="B134" s="9" t="s">
        <v>619</v>
      </c>
      <c r="C134" s="9" t="s">
        <v>618</v>
      </c>
      <c r="D134" s="9" t="s">
        <v>641</v>
      </c>
    </row>
    <row r="135" spans="1:4" x14ac:dyDescent="0.25">
      <c r="A135" s="9" t="s">
        <v>116</v>
      </c>
      <c r="B135" s="9" t="s">
        <v>230</v>
      </c>
      <c r="C135" s="9" t="s">
        <v>411</v>
      </c>
      <c r="D135" s="9" t="s">
        <v>641</v>
      </c>
    </row>
    <row r="136" spans="1:4" x14ac:dyDescent="0.25">
      <c r="A136" s="9" t="s">
        <v>120</v>
      </c>
      <c r="B136" s="9" t="s">
        <v>119</v>
      </c>
      <c r="C136" s="9" t="s">
        <v>121</v>
      </c>
      <c r="D136" s="9" t="s">
        <v>641</v>
      </c>
    </row>
    <row r="151" spans="1:4" x14ac:dyDescent="0.25">
      <c r="A151" s="44"/>
      <c r="B151" s="44"/>
      <c r="C151" s="44"/>
      <c r="D151" s="44"/>
    </row>
    <row r="152" spans="1:4" x14ac:dyDescent="0.25">
      <c r="A152" s="8"/>
      <c r="B152" s="8"/>
      <c r="C152" s="8"/>
      <c r="D152" s="8"/>
    </row>
    <row r="153" spans="1:4" x14ac:dyDescent="0.25">
      <c r="A153" s="26"/>
      <c r="B153" s="26"/>
      <c r="C153" s="26"/>
      <c r="D153" s="26"/>
    </row>
    <row r="154" spans="1:4" x14ac:dyDescent="0.25">
      <c r="A154" s="26"/>
      <c r="B154" s="26"/>
      <c r="C154" s="26"/>
      <c r="D154" s="26"/>
    </row>
    <row r="155" spans="1:4" x14ac:dyDescent="0.25">
      <c r="A155" s="26"/>
      <c r="B155" s="26"/>
      <c r="C155" s="26"/>
      <c r="D155" s="26"/>
    </row>
    <row r="156" spans="1:4" x14ac:dyDescent="0.25">
      <c r="A156" s="26"/>
      <c r="B156" s="26"/>
      <c r="C156" s="26"/>
      <c r="D156" s="26"/>
    </row>
    <row r="157" spans="1:4" x14ac:dyDescent="0.25">
      <c r="A157" s="26"/>
      <c r="B157" s="26"/>
      <c r="C157" s="26"/>
      <c r="D157" s="26"/>
    </row>
    <row r="158" spans="1:4" x14ac:dyDescent="0.25">
      <c r="A158" s="26"/>
      <c r="B158" s="26"/>
      <c r="C158" s="26"/>
      <c r="D158" s="26"/>
    </row>
    <row r="159" spans="1:4" x14ac:dyDescent="0.25">
      <c r="A159" s="19"/>
      <c r="B159" s="19"/>
      <c r="C159" s="19"/>
      <c r="D159" s="19"/>
    </row>
  </sheetData>
  <customSheetViews>
    <customSheetView guid="{A1637ED3-F38C-4E77-A8BB-011227AA9694}">
      <selection activeCell="B8" sqref="B8"/>
      <pageMargins left="0.7" right="0.7" top="0.75" bottom="0.75" header="0.3" footer="0.3"/>
      <pageSetup paperSize="9" orientation="portrait" verticalDpi="0" r:id="rId1"/>
    </customSheetView>
    <customSheetView guid="{B578103E-327A-4E76-AD33-0ADD9829657C}">
      <selection activeCell="A2" sqref="A2"/>
      <pageMargins left="0.7" right="0.7" top="0.75" bottom="0.75" header="0.3" footer="0.3"/>
      <pageSetup paperSize="9" orientation="portrait" verticalDpi="0" r:id="rId2"/>
    </customSheetView>
    <customSheetView guid="{D2E21015-49B6-4DCD-8903-2A33CC51A6BC}" showAutoFilter="1">
      <selection activeCell="B8" sqref="B8"/>
      <pageMargins left="0.7" right="0.7" top="0.75" bottom="0.75" header="0.3" footer="0.3"/>
      <pageSetup paperSize="9" orientation="portrait" verticalDpi="0" r:id="rId3"/>
      <autoFilter ref="A1:E179" xr:uid="{43CBFEFB-0B8F-4A89-869C-FB4379B6CC1C}"/>
    </customSheetView>
    <customSheetView guid="{EDF2F6B2-21F7-4895-9F69-CDF26867E73E}">
      <selection sqref="A1:XFD1048576"/>
      <pageMargins left="0.7" right="0.7" top="0.75" bottom="0.75" header="0.3" footer="0.3"/>
      <pageSetup paperSize="9" orientation="portrait" verticalDpi="0" r:id="rId4"/>
    </customSheetView>
    <customSheetView guid="{D4E624F4-8690-493F-875F-508F53C873EF}">
      <selection activeCell="H12" sqref="H12"/>
      <pageMargins left="0.7" right="0.7" top="0.75" bottom="0.75" header="0.3" footer="0.3"/>
    </customSheetView>
    <customSheetView guid="{D0696375-DBB5-4809-BC60-44F8F56B2779}" topLeftCell="A63">
      <selection activeCell="A78" sqref="A78:C78"/>
      <pageMargins left="0.7" right="0.7" top="0.75" bottom="0.75" header="0.3" footer="0.3"/>
      <pageSetup paperSize="9" orientation="portrait" verticalDpi="0" r:id="rId5"/>
    </customSheetView>
    <customSheetView guid="{C5352930-F296-4056-ADED-A54F12C72A5E}" topLeftCell="A141">
      <selection activeCell="A2" sqref="A2:A169"/>
      <pageMargins left="0.7" right="0.7" top="0.75" bottom="0.75" header="0.3" footer="0.3"/>
      <pageSetup paperSize="9" orientation="portrait" verticalDpi="0" r:id="rId6"/>
    </customSheetView>
    <customSheetView guid="{7595FEC4-A35A-45A8-ABFF-30CA7F2E3DDB}">
      <selection activeCell="E1" sqref="E1:E1048576"/>
      <pageMargins left="0.7" right="0.7" top="0.75" bottom="0.75" header="0.3" footer="0.3"/>
      <pageSetup paperSize="9" orientation="portrait" verticalDpi="0" r:id="rId7"/>
    </customSheetView>
  </customSheetViews>
  <pageMargins left="0.7" right="0.7" top="0.75" bottom="0.75" header="0.3" footer="0.3"/>
  <pageSetup paperSize="9" orientation="portrait" verticalDpi="0"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D35"/>
  <sheetViews>
    <sheetView zoomScaleNormal="115" workbookViewId="0">
      <selection activeCell="I9" sqref="I9"/>
    </sheetView>
  </sheetViews>
  <sheetFormatPr defaultColWidth="9.140625" defaultRowHeight="15" x14ac:dyDescent="0.25"/>
  <cols>
    <col min="1" max="1" width="12.85546875" style="8" bestFit="1" customWidth="1"/>
    <col min="2" max="2" width="37.140625" style="8" bestFit="1" customWidth="1"/>
    <col min="3" max="3" width="20.85546875" style="8" bestFit="1" customWidth="1"/>
    <col min="4" max="4" width="16" style="8" bestFit="1" customWidth="1"/>
    <col min="5" max="16384" width="9.140625" style="8"/>
  </cols>
  <sheetData>
    <row r="1" spans="1:4" x14ac:dyDescent="0.25">
      <c r="A1" s="45" t="s">
        <v>363</v>
      </c>
      <c r="B1" s="45" t="s">
        <v>364</v>
      </c>
      <c r="C1" s="45" t="s">
        <v>372</v>
      </c>
      <c r="D1" s="45" t="s">
        <v>446</v>
      </c>
    </row>
    <row r="2" spans="1:4" x14ac:dyDescent="0.25">
      <c r="A2" s="9" t="s">
        <v>573</v>
      </c>
      <c r="B2" s="9" t="s">
        <v>576</v>
      </c>
      <c r="C2" s="9" t="s">
        <v>574</v>
      </c>
      <c r="D2" s="9" t="s">
        <v>646</v>
      </c>
    </row>
    <row r="3" spans="1:4" x14ac:dyDescent="0.25">
      <c r="A3" s="9" t="s">
        <v>581</v>
      </c>
      <c r="B3" s="9" t="s">
        <v>583</v>
      </c>
      <c r="C3" s="9" t="s">
        <v>582</v>
      </c>
      <c r="D3" s="9" t="s">
        <v>646</v>
      </c>
    </row>
    <row r="4" spans="1:4" x14ac:dyDescent="0.25">
      <c r="A4" s="9" t="s">
        <v>647</v>
      </c>
      <c r="B4" s="9" t="s">
        <v>648</v>
      </c>
      <c r="C4" s="9" t="s">
        <v>649</v>
      </c>
      <c r="D4" s="9" t="s">
        <v>646</v>
      </c>
    </row>
    <row r="5" spans="1:4" x14ac:dyDescent="0.25">
      <c r="A5" s="9" t="s">
        <v>785</v>
      </c>
      <c r="B5" s="9" t="s">
        <v>373</v>
      </c>
      <c r="C5" s="9" t="s">
        <v>199</v>
      </c>
      <c r="D5" s="9" t="s">
        <v>646</v>
      </c>
    </row>
    <row r="6" spans="1:4" x14ac:dyDescent="0.25">
      <c r="A6" s="9" t="s">
        <v>650</v>
      </c>
      <c r="B6" s="9" t="s">
        <v>305</v>
      </c>
      <c r="C6" s="9" t="s">
        <v>303</v>
      </c>
      <c r="D6" s="9" t="s">
        <v>646</v>
      </c>
    </row>
    <row r="7" spans="1:4" x14ac:dyDescent="0.25">
      <c r="A7" s="9" t="s">
        <v>651</v>
      </c>
      <c r="B7" s="9" t="s">
        <v>652</v>
      </c>
      <c r="C7" s="9" t="s">
        <v>653</v>
      </c>
      <c r="D7" s="9" t="s">
        <v>646</v>
      </c>
    </row>
    <row r="8" spans="1:4" x14ac:dyDescent="0.25">
      <c r="A8" s="9" t="s">
        <v>586</v>
      </c>
      <c r="B8" s="9" t="s">
        <v>588</v>
      </c>
      <c r="C8" s="9" t="s">
        <v>587</v>
      </c>
      <c r="D8" s="9" t="s">
        <v>646</v>
      </c>
    </row>
    <row r="9" spans="1:4" x14ac:dyDescent="0.25">
      <c r="A9" s="9" t="s">
        <v>605</v>
      </c>
      <c r="B9" s="9" t="s">
        <v>606</v>
      </c>
      <c r="C9" s="9" t="s">
        <v>607</v>
      </c>
      <c r="D9" s="9" t="s">
        <v>646</v>
      </c>
    </row>
    <row r="10" spans="1:4" x14ac:dyDescent="0.25">
      <c r="A10" s="9" t="s">
        <v>654</v>
      </c>
      <c r="B10" s="9" t="s">
        <v>655</v>
      </c>
      <c r="C10" s="9" t="s">
        <v>270</v>
      </c>
      <c r="D10" s="9" t="s">
        <v>646</v>
      </c>
    </row>
    <row r="11" spans="1:4" x14ac:dyDescent="0.25">
      <c r="A11" s="9" t="s">
        <v>656</v>
      </c>
      <c r="B11" s="9" t="s">
        <v>657</v>
      </c>
      <c r="C11" s="9" t="s">
        <v>658</v>
      </c>
      <c r="D11" s="9" t="s">
        <v>646</v>
      </c>
    </row>
    <row r="12" spans="1:4" x14ac:dyDescent="0.25">
      <c r="A12" s="9" t="s">
        <v>659</v>
      </c>
      <c r="B12" s="9" t="s">
        <v>660</v>
      </c>
      <c r="C12" s="9" t="s">
        <v>660</v>
      </c>
      <c r="D12" s="9" t="s">
        <v>646</v>
      </c>
    </row>
    <row r="13" spans="1:4" x14ac:dyDescent="0.25">
      <c r="A13" s="9" t="s">
        <v>608</v>
      </c>
      <c r="B13" s="9" t="s">
        <v>609</v>
      </c>
      <c r="C13" s="9" t="s">
        <v>610</v>
      </c>
      <c r="D13" s="9" t="s">
        <v>646</v>
      </c>
    </row>
    <row r="14" spans="1:4" x14ac:dyDescent="0.25">
      <c r="A14" s="9" t="s">
        <v>1067</v>
      </c>
      <c r="B14" s="9" t="s">
        <v>1068</v>
      </c>
      <c r="C14" s="9" t="s">
        <v>1069</v>
      </c>
      <c r="D14" s="9" t="s">
        <v>646</v>
      </c>
    </row>
    <row r="16" spans="1:4" s="9" customFormat="1" x14ac:dyDescent="0.25"/>
    <row r="17" spans="1:4" s="9" customFormat="1" x14ac:dyDescent="0.25"/>
    <row r="18" spans="1:4" s="9" customFormat="1" x14ac:dyDescent="0.25"/>
    <row r="19" spans="1:4" x14ac:dyDescent="0.25">
      <c r="A19" s="9"/>
      <c r="B19" s="9"/>
      <c r="C19" s="9"/>
      <c r="D19" s="9"/>
    </row>
    <row r="20" spans="1:4" x14ac:dyDescent="0.25">
      <c r="A20" s="44"/>
      <c r="B20" s="44"/>
      <c r="C20" s="44"/>
      <c r="D20" s="44"/>
    </row>
    <row r="21" spans="1:4" x14ac:dyDescent="0.25">
      <c r="A21" s="44"/>
      <c r="B21" s="44"/>
      <c r="C21" s="44"/>
      <c r="D21" s="44"/>
    </row>
    <row r="22" spans="1:4" x14ac:dyDescent="0.25">
      <c r="A22" s="44"/>
      <c r="B22" s="44"/>
      <c r="C22" s="44"/>
      <c r="D22" s="44"/>
    </row>
    <row r="23" spans="1:4" x14ac:dyDescent="0.25">
      <c r="A23" s="44"/>
      <c r="B23" s="44"/>
      <c r="C23" s="44"/>
      <c r="D23" s="44"/>
    </row>
    <row r="24" spans="1:4" x14ac:dyDescent="0.25">
      <c r="A24" s="44"/>
      <c r="B24" s="44"/>
      <c r="C24" s="44"/>
      <c r="D24" s="44"/>
    </row>
    <row r="25" spans="1:4" x14ac:dyDescent="0.25">
      <c r="A25" s="44"/>
      <c r="B25" s="44"/>
      <c r="C25" s="44"/>
      <c r="D25" s="44"/>
    </row>
    <row r="26" spans="1:4" x14ac:dyDescent="0.25">
      <c r="A26" s="44"/>
      <c r="B26" s="44"/>
      <c r="C26" s="44"/>
      <c r="D26" s="44"/>
    </row>
    <row r="27" spans="1:4" x14ac:dyDescent="0.25">
      <c r="A27" s="44"/>
      <c r="B27" s="44"/>
      <c r="C27" s="44"/>
      <c r="D27" s="44"/>
    </row>
    <row r="28" spans="1:4" x14ac:dyDescent="0.25">
      <c r="A28" s="44"/>
      <c r="B28" s="44"/>
      <c r="C28" s="44"/>
      <c r="D28" s="44"/>
    </row>
    <row r="29" spans="1:4" x14ac:dyDescent="0.25">
      <c r="A29" s="44"/>
      <c r="B29" s="44"/>
      <c r="C29" s="44"/>
      <c r="D29" s="44"/>
    </row>
    <row r="30" spans="1:4" x14ac:dyDescent="0.25">
      <c r="A30" s="44"/>
      <c r="B30" s="44"/>
      <c r="C30" s="44"/>
      <c r="D30" s="44"/>
    </row>
    <row r="31" spans="1:4" x14ac:dyDescent="0.25">
      <c r="A31" s="44"/>
      <c r="B31" s="44"/>
      <c r="C31" s="44"/>
      <c r="D31" s="44"/>
    </row>
    <row r="32" spans="1:4" x14ac:dyDescent="0.25">
      <c r="A32" s="44"/>
      <c r="B32" s="44"/>
      <c r="C32" s="44"/>
      <c r="D32" s="44"/>
    </row>
    <row r="33" spans="1:4" x14ac:dyDescent="0.25">
      <c r="A33" s="44"/>
      <c r="B33" s="44"/>
      <c r="C33" s="44"/>
      <c r="D33" s="44"/>
    </row>
    <row r="34" spans="1:4" x14ac:dyDescent="0.25">
      <c r="A34" s="44"/>
      <c r="B34" s="44"/>
      <c r="C34" s="44"/>
      <c r="D34" s="44"/>
    </row>
    <row r="35" spans="1:4" x14ac:dyDescent="0.25">
      <c r="A35" s="44"/>
      <c r="B35" s="44"/>
      <c r="C35" s="44"/>
      <c r="D35" s="44"/>
    </row>
  </sheetData>
  <customSheetViews>
    <customSheetView guid="{A1637ED3-F38C-4E77-A8BB-011227AA9694}">
      <selection sqref="A1:D13"/>
      <pageMargins left="0.7" right="0.7" top="0.75" bottom="0.75" header="0.3" footer="0.3"/>
      <pageSetup orientation="portrait" horizontalDpi="300" verticalDpi="300" r:id="rId1"/>
    </customSheetView>
    <customSheetView guid="{B578103E-327A-4E76-AD33-0ADD9829657C}">
      <selection activeCell="B23" sqref="B23"/>
      <pageMargins left="0.7" right="0.7" top="0.75" bottom="0.75" header="0.3" footer="0.3"/>
      <pageSetup orientation="portrait" horizontalDpi="300" verticalDpi="300" r:id="rId2"/>
    </customSheetView>
    <customSheetView guid="{D2E21015-49B6-4DCD-8903-2A33CC51A6BC}">
      <selection activeCell="C6" sqref="C6"/>
      <pageMargins left="0.7" right="0.7" top="0.75" bottom="0.75" header="0.3" footer="0.3"/>
      <pageSetup orientation="portrait" horizontalDpi="300" verticalDpi="300" r:id="rId3"/>
    </customSheetView>
    <customSheetView guid="{EDF2F6B2-21F7-4895-9F69-CDF26867E73E}">
      <selection activeCell="A13" sqref="A13"/>
      <pageMargins left="0.7" right="0.7" top="0.75" bottom="0.75" header="0.3" footer="0.3"/>
      <pageSetup orientation="portrait" horizontalDpi="300" verticalDpi="300" r:id="rId4"/>
    </customSheetView>
    <customSheetView guid="{D0696375-DBB5-4809-BC60-44F8F56B2779}">
      <selection activeCell="A17" sqref="A17"/>
      <pageMargins left="0.7" right="0.7" top="0.75" bottom="0.75" header="0.3" footer="0.3"/>
      <pageSetup orientation="portrait" horizontalDpi="300" verticalDpi="300" r:id="rId5"/>
    </customSheetView>
    <customSheetView guid="{C5352930-F296-4056-ADED-A54F12C72A5E}">
      <selection activeCell="B21" sqref="B21"/>
      <pageMargins left="0.7" right="0.7" top="0.75" bottom="0.75" header="0.3" footer="0.3"/>
      <pageSetup orientation="portrait" horizontalDpi="300" verticalDpi="300" r:id="rId6"/>
    </customSheetView>
    <customSheetView guid="{7595FEC4-A35A-45A8-ABFF-30CA7F2E3DDB}">
      <selection activeCell="C6" sqref="C6"/>
      <pageMargins left="0.7" right="0.7" top="0.75" bottom="0.75" header="0.3" footer="0.3"/>
      <pageSetup orientation="portrait" horizontalDpi="300" verticalDpi="300" r:id="rId7"/>
    </customSheetView>
  </customSheetViews>
  <pageMargins left="0.7" right="0.7" top="0.75" bottom="0.75" header="0.3" footer="0.3"/>
  <pageSetup orientation="portrait" horizontalDpi="300" verticalDpi="300" r:id="rId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H5"/>
  <sheetViews>
    <sheetView zoomScaleNormal="100" workbookViewId="0">
      <selection activeCell="G11" sqref="G11"/>
    </sheetView>
  </sheetViews>
  <sheetFormatPr defaultColWidth="9.140625" defaultRowHeight="15" x14ac:dyDescent="0.25"/>
  <cols>
    <col min="1" max="1" width="12.85546875" style="6" bestFit="1" customWidth="1"/>
    <col min="2" max="2" width="24.5703125" style="6" customWidth="1"/>
    <col min="3" max="3" width="21" style="6" bestFit="1" customWidth="1"/>
    <col min="4" max="4" width="16.140625" style="6" bestFit="1" customWidth="1"/>
    <col min="5" max="5" width="9.7109375" style="6" bestFit="1" customWidth="1"/>
    <col min="6" max="6" width="5.7109375" style="6" bestFit="1" customWidth="1"/>
    <col min="7" max="7" width="17.5703125" style="6" bestFit="1" customWidth="1"/>
    <col min="8" max="8" width="15" style="6" bestFit="1" customWidth="1"/>
    <col min="9" max="9" width="9.140625" style="6" customWidth="1"/>
    <col min="10" max="16384" width="9.140625" style="6"/>
  </cols>
  <sheetData>
    <row r="1" spans="1:8" x14ac:dyDescent="0.25">
      <c r="A1" s="47" t="s">
        <v>363</v>
      </c>
      <c r="B1" s="47" t="s">
        <v>364</v>
      </c>
      <c r="C1" s="47" t="s">
        <v>372</v>
      </c>
      <c r="D1" s="47" t="s">
        <v>554</v>
      </c>
      <c r="E1" s="47" t="s">
        <v>557</v>
      </c>
      <c r="F1" s="47" t="s">
        <v>1</v>
      </c>
      <c r="G1" s="47" t="s">
        <v>558</v>
      </c>
      <c r="H1" s="47" t="s">
        <v>559</v>
      </c>
    </row>
    <row r="2" spans="1:8" s="8" customFormat="1" x14ac:dyDescent="0.25">
      <c r="F2" s="9"/>
      <c r="G2" s="9"/>
      <c r="H2" s="9"/>
    </row>
    <row r="3" spans="1:8" x14ac:dyDescent="0.25">
      <c r="A3" s="9"/>
      <c r="B3" s="9"/>
      <c r="C3" s="9"/>
      <c r="D3" s="9"/>
      <c r="E3" s="9"/>
      <c r="F3" s="9"/>
      <c r="G3" s="9"/>
      <c r="H3" s="9"/>
    </row>
    <row r="4" spans="1:8" x14ac:dyDescent="0.25">
      <c r="A4" s="9"/>
      <c r="B4" s="9"/>
      <c r="C4" s="9"/>
      <c r="D4" s="9"/>
      <c r="E4" s="9"/>
      <c r="F4" s="9"/>
      <c r="G4" s="9"/>
      <c r="H4" s="9"/>
    </row>
    <row r="5" spans="1:8" x14ac:dyDescent="0.25">
      <c r="E5" s="9"/>
    </row>
  </sheetData>
  <customSheetViews>
    <customSheetView guid="{A1637ED3-F38C-4E77-A8BB-011227AA9694}">
      <selection activeCell="D6" sqref="D6"/>
      <pageMargins left="0.7" right="0.7" top="0.75" bottom="0.75" header="0.3" footer="0.3"/>
      <pageSetup paperSize="9" orientation="portrait" verticalDpi="0" r:id="rId1"/>
    </customSheetView>
    <customSheetView guid="{B578103E-327A-4E76-AD33-0ADD9829657C}">
      <selection activeCell="A2" sqref="A2"/>
      <pageMargins left="0.7" right="0.7" top="0.75" bottom="0.75" header="0.3" footer="0.3"/>
      <pageSetup paperSize="9" orientation="portrait" verticalDpi="0" r:id="rId2"/>
    </customSheetView>
    <customSheetView guid="{D2E21015-49B6-4DCD-8903-2A33CC51A6BC}" scale="115">
      <selection activeCell="D12" sqref="D12"/>
      <pageMargins left="0.7" right="0.7" top="0.75" bottom="0.75" header="0.3" footer="0.3"/>
      <pageSetup paperSize="9" orientation="portrait" verticalDpi="0" r:id="rId3"/>
    </customSheetView>
    <customSheetView guid="{D0696375-DBB5-4809-BC60-44F8F56B2779}" scale="115">
      <selection activeCell="D17" sqref="D17"/>
      <pageMargins left="0.7" right="0.7" top="0.75" bottom="0.75" header="0.3" footer="0.3"/>
      <pageSetup paperSize="9" orientation="portrait" verticalDpi="0" r:id="rId4"/>
    </customSheetView>
    <customSheetView guid="{C5352930-F296-4056-ADED-A54F12C72A5E}" scale="115">
      <selection activeCell="A2" sqref="A2:A5"/>
      <pageMargins left="0.7" right="0.7" top="0.75" bottom="0.75" header="0.3" footer="0.3"/>
      <pageSetup paperSize="9" orientation="portrait" verticalDpi="0" r:id="rId5"/>
    </customSheetView>
    <customSheetView guid="{7595FEC4-A35A-45A8-ABFF-30CA7F2E3DDB}">
      <selection activeCell="B9" sqref="B9"/>
      <pageMargins left="0.7" right="0.7" top="0.75" bottom="0.75" header="0.3" footer="0.3"/>
      <pageSetup paperSize="9" orientation="portrait" verticalDpi="0" r:id="rId6"/>
    </customSheetView>
  </customSheetViews>
  <pageMargins left="0.7" right="0.7" top="0.75" bottom="0.75" header="0.3" footer="0.3"/>
  <pageSetup paperSize="9" orientation="portrait" verticalDpi="0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2"/>
  <sheetViews>
    <sheetView workbookViewId="0">
      <selection activeCell="A2" sqref="A2:XFD2"/>
    </sheetView>
  </sheetViews>
  <sheetFormatPr defaultColWidth="9.140625" defaultRowHeight="15" x14ac:dyDescent="0.25"/>
  <cols>
    <col min="1" max="1" width="12.85546875" style="1" bestFit="1" customWidth="1"/>
    <col min="2" max="2" width="21.42578125" style="1" bestFit="1" customWidth="1"/>
    <col min="3" max="3" width="14" style="1" bestFit="1" customWidth="1"/>
    <col min="4" max="4" width="16.140625" style="1" bestFit="1" customWidth="1"/>
    <col min="5" max="5" width="9.140625" style="1" customWidth="1"/>
    <col min="6" max="16384" width="9.140625" style="1"/>
  </cols>
  <sheetData>
    <row r="1" spans="1:4" x14ac:dyDescent="0.25">
      <c r="A1" s="47" t="s">
        <v>363</v>
      </c>
      <c r="B1" s="47" t="s">
        <v>364</v>
      </c>
      <c r="C1" s="47" t="s">
        <v>372</v>
      </c>
      <c r="D1" s="47" t="s">
        <v>554</v>
      </c>
    </row>
    <row r="2" spans="1:4" x14ac:dyDescent="0.25">
      <c r="A2" s="9"/>
      <c r="B2" s="9"/>
      <c r="C2" s="9"/>
      <c r="D2" s="9"/>
    </row>
  </sheetData>
  <customSheetViews>
    <customSheetView guid="{A1637ED3-F38C-4E77-A8BB-011227AA9694}">
      <selection activeCell="F14" sqref="F14"/>
      <pageMargins left="0.7" right="0.7" top="0.75" bottom="0.75" header="0.3" footer="0.3"/>
    </customSheetView>
    <customSheetView guid="{B578103E-327A-4E76-AD33-0ADD9829657C}">
      <selection activeCell="A2" sqref="A2"/>
      <pageMargins left="0.7" right="0.7" top="0.75" bottom="0.75" header="0.3" footer="0.3"/>
    </customSheetView>
    <customSheetView guid="{D2E21015-49B6-4DCD-8903-2A33CC51A6BC}">
      <selection activeCell="B15" sqref="B15"/>
      <pageMargins left="0.7" right="0.7" top="0.75" bottom="0.75" header="0.3" footer="0.3"/>
    </customSheetView>
    <customSheetView guid="{D0696375-DBB5-4809-BC60-44F8F56B2779}">
      <selection activeCell="B15" sqref="B15"/>
      <pageMargins left="0.7" right="0.7" top="0.75" bottom="0.75" header="0.3" footer="0.3"/>
    </customSheetView>
    <customSheetView guid="{C5352930-F296-4056-ADED-A54F12C72A5E}">
      <selection sqref="A1:D2"/>
      <pageMargins left="0.7" right="0.7" top="0.75" bottom="0.75" header="0.3" footer="0.3"/>
    </customSheetView>
    <customSheetView guid="{7595FEC4-A35A-45A8-ABFF-30CA7F2E3DDB}">
      <selection activeCell="F24" sqref="F2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F7"/>
  <sheetViews>
    <sheetView workbookViewId="0">
      <selection activeCell="E10" sqref="E10"/>
    </sheetView>
  </sheetViews>
  <sheetFormatPr defaultColWidth="9.140625" defaultRowHeight="15" x14ac:dyDescent="0.25"/>
  <cols>
    <col min="1" max="1" width="12.85546875" style="1" bestFit="1" customWidth="1"/>
    <col min="2" max="2" width="31.85546875" style="1" customWidth="1"/>
    <col min="3" max="3" width="22.140625" style="1" bestFit="1" customWidth="1"/>
    <col min="4" max="4" width="12.7109375" style="1" customWidth="1"/>
    <col min="5" max="5" width="20" style="1" customWidth="1"/>
    <col min="6" max="6" width="22" style="1" bestFit="1" customWidth="1"/>
    <col min="7" max="16384" width="9.140625" style="1"/>
  </cols>
  <sheetData>
    <row r="1" spans="1:6" x14ac:dyDescent="0.25">
      <c r="A1" s="50" t="s">
        <v>363</v>
      </c>
      <c r="B1" s="50" t="s">
        <v>364</v>
      </c>
      <c r="C1" s="50" t="s">
        <v>372</v>
      </c>
      <c r="D1" s="50" t="s">
        <v>552</v>
      </c>
      <c r="E1" s="50" t="s">
        <v>553</v>
      </c>
      <c r="F1" s="50" t="s">
        <v>620</v>
      </c>
    </row>
    <row r="2" spans="1:6" s="9" customFormat="1" x14ac:dyDescent="0.25">
      <c r="A2" s="9" t="s">
        <v>269</v>
      </c>
      <c r="B2" s="9" t="s">
        <v>271</v>
      </c>
      <c r="C2" s="9" t="s">
        <v>270</v>
      </c>
      <c r="D2" s="9">
        <v>0.01</v>
      </c>
      <c r="E2" s="9">
        <v>2318.0100000000002</v>
      </c>
      <c r="F2" s="1"/>
    </row>
    <row r="3" spans="1:6" s="9" customFormat="1" x14ac:dyDescent="0.25">
      <c r="A3" s="9" t="s">
        <v>302</v>
      </c>
      <c r="B3" s="9" t="s">
        <v>305</v>
      </c>
      <c r="C3" s="9" t="s">
        <v>303</v>
      </c>
      <c r="D3" s="9">
        <v>0.01</v>
      </c>
      <c r="E3" s="9">
        <v>0.16</v>
      </c>
      <c r="F3" s="1"/>
    </row>
    <row r="4" spans="1:6" s="9" customFormat="1" x14ac:dyDescent="0.25">
      <c r="F4" s="1"/>
    </row>
    <row r="5" spans="1:6" x14ac:dyDescent="0.25">
      <c r="A5" s="9"/>
      <c r="B5" s="9"/>
      <c r="C5" s="9"/>
      <c r="D5" s="9"/>
      <c r="E5" s="9"/>
    </row>
    <row r="6" spans="1:6" x14ac:dyDescent="0.25">
      <c r="A6" s="21"/>
      <c r="B6" s="21"/>
      <c r="C6" s="21"/>
      <c r="D6" s="21"/>
      <c r="E6" s="21"/>
    </row>
    <row r="7" spans="1:6" x14ac:dyDescent="0.25">
      <c r="A7" s="21"/>
      <c r="B7" s="21"/>
      <c r="C7" s="21"/>
      <c r="D7" s="21"/>
      <c r="E7" s="21"/>
    </row>
  </sheetData>
  <customSheetViews>
    <customSheetView guid="{A1637ED3-F38C-4E77-A8BB-011227AA9694}">
      <selection activeCell="F8" sqref="F8"/>
      <pageMargins left="0.7" right="0.7" top="0.75" bottom="0.75" header="0.3" footer="0.3"/>
      <pageSetup paperSize="9" orientation="portrait" verticalDpi="300" r:id="rId1"/>
    </customSheetView>
    <customSheetView guid="{B578103E-327A-4E76-AD33-0ADD9829657C}">
      <selection activeCell="A3" sqref="A3"/>
      <pageMargins left="0.7" right="0.7" top="0.75" bottom="0.75" header="0.3" footer="0.3"/>
      <pageSetup paperSize="9" orientation="portrait" verticalDpi="300" r:id="rId2"/>
    </customSheetView>
    <customSheetView guid="{D2E21015-49B6-4DCD-8903-2A33CC51A6BC}">
      <selection activeCell="C8" sqref="C8"/>
      <pageMargins left="0.7" right="0.7" top="0.75" bottom="0.75" header="0.3" footer="0.3"/>
    </customSheetView>
    <customSheetView guid="{D0696375-DBB5-4809-BC60-44F8F56B2779}">
      <selection sqref="A1:XFD1048576"/>
      <pageMargins left="0.7" right="0.7" top="0.75" bottom="0.75" header="0.3" footer="0.3"/>
    </customSheetView>
    <customSheetView guid="{C5352930-F296-4056-ADED-A54F12C72A5E}">
      <selection activeCell="D16" sqref="D16"/>
      <pageMargins left="0.7" right="0.7" top="0.75" bottom="0.75" header="0.3" footer="0.3"/>
      <pageSetup paperSize="9" orientation="portrait" verticalDpi="0" r:id="rId3"/>
    </customSheetView>
    <customSheetView guid="{7595FEC4-A35A-45A8-ABFF-30CA7F2E3DDB}">
      <selection activeCell="F5" sqref="F5"/>
      <pageMargins left="0.7" right="0.7" top="0.75" bottom="0.75" header="0.3" footer="0.3"/>
      <pageSetup paperSize="9" orientation="portrait" verticalDpi="300" r:id="rId4"/>
    </customSheetView>
  </customSheetViews>
  <pageMargins left="0.7" right="0.7" top="0.75" bottom="0.75" header="0.3" footer="0.3"/>
  <pageSetup paperSize="9" orientation="portrait" verticalDpi="300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J14"/>
  <sheetViews>
    <sheetView workbookViewId="0">
      <selection activeCell="F11" sqref="F11"/>
    </sheetView>
  </sheetViews>
  <sheetFormatPr defaultColWidth="9.140625" defaultRowHeight="15" x14ac:dyDescent="0.25"/>
  <cols>
    <col min="1" max="1" width="12.85546875" style="1" bestFit="1" customWidth="1"/>
    <col min="2" max="2" width="35.140625" style="1" bestFit="1" customWidth="1"/>
    <col min="3" max="3" width="22.140625" style="1" bestFit="1" customWidth="1"/>
    <col min="4" max="4" width="20.28515625" style="1" bestFit="1" customWidth="1"/>
    <col min="5" max="5" width="10.85546875" style="1" bestFit="1" customWidth="1"/>
    <col min="6" max="6" width="18.5703125" style="1" bestFit="1" customWidth="1"/>
    <col min="7" max="7" width="21.28515625" style="1" bestFit="1" customWidth="1"/>
    <col min="8" max="8" width="9.7109375" style="1" bestFit="1" customWidth="1"/>
    <col min="9" max="9" width="10.7109375" style="1" bestFit="1" customWidth="1"/>
    <col min="10" max="10" width="9.85546875" style="1" bestFit="1" customWidth="1"/>
    <col min="11" max="16384" width="9.140625" style="1"/>
  </cols>
  <sheetData>
    <row r="1" spans="1:10" x14ac:dyDescent="0.25">
      <c r="A1" s="50" t="s">
        <v>363</v>
      </c>
      <c r="B1" s="50" t="s">
        <v>364</v>
      </c>
      <c r="C1" s="50" t="s">
        <v>372</v>
      </c>
      <c r="D1" s="50" t="s">
        <v>630</v>
      </c>
      <c r="E1" s="50" t="s">
        <v>631</v>
      </c>
      <c r="F1" s="50" t="s">
        <v>632</v>
      </c>
      <c r="G1" s="50" t="s">
        <v>633</v>
      </c>
      <c r="H1" s="50" t="s">
        <v>552</v>
      </c>
      <c r="I1" s="50" t="s">
        <v>553</v>
      </c>
      <c r="J1" s="10"/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10"/>
    </row>
    <row r="3" spans="1:10" x14ac:dyDescent="0.25">
      <c r="A3" s="8"/>
      <c r="B3" s="8"/>
      <c r="C3" s="8"/>
      <c r="D3" s="8"/>
      <c r="E3" s="8"/>
      <c r="F3" s="8"/>
      <c r="G3" s="8"/>
      <c r="H3" s="8"/>
      <c r="I3" s="8"/>
    </row>
    <row r="4" spans="1:10" x14ac:dyDescent="0.25">
      <c r="A4" s="8"/>
      <c r="B4" s="8"/>
      <c r="C4" s="8"/>
      <c r="D4" s="8"/>
      <c r="E4" s="8"/>
      <c r="F4" s="8"/>
      <c r="G4" s="8"/>
      <c r="H4" s="8"/>
      <c r="I4" s="8"/>
    </row>
    <row r="5" spans="1:10" x14ac:dyDescent="0.25">
      <c r="A5" s="8"/>
      <c r="B5" s="8"/>
      <c r="C5" s="8"/>
      <c r="D5" s="8"/>
      <c r="E5" s="8"/>
      <c r="F5" s="8"/>
      <c r="G5" s="8"/>
      <c r="H5" s="8"/>
      <c r="I5" s="8"/>
    </row>
    <row r="6" spans="1:10" x14ac:dyDescent="0.25">
      <c r="A6" s="8"/>
      <c r="B6" s="8"/>
      <c r="C6" s="8"/>
      <c r="D6" s="8"/>
      <c r="E6" s="8"/>
      <c r="F6" s="8"/>
      <c r="G6" s="8"/>
      <c r="H6" s="8"/>
      <c r="I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</row>
    <row r="8" spans="1:10" x14ac:dyDescent="0.25">
      <c r="A8" s="21"/>
      <c r="B8" s="21"/>
      <c r="C8" s="21"/>
      <c r="D8" s="21"/>
      <c r="E8" s="21"/>
      <c r="F8" s="21"/>
      <c r="G8" s="21"/>
      <c r="H8" s="21"/>
      <c r="I8" s="21"/>
    </row>
    <row r="11" spans="1:10" x14ac:dyDescent="0.25">
      <c r="C11" s="41"/>
      <c r="D11" s="41"/>
    </row>
    <row r="12" spans="1:10" x14ac:dyDescent="0.25">
      <c r="C12" s="41"/>
      <c r="D12" s="41"/>
    </row>
    <row r="13" spans="1:10" x14ac:dyDescent="0.25">
      <c r="C13" s="41"/>
      <c r="D13" s="41"/>
    </row>
    <row r="14" spans="1:10" x14ac:dyDescent="0.25">
      <c r="C14" s="41"/>
      <c r="D14" s="41"/>
    </row>
  </sheetData>
  <customSheetViews>
    <customSheetView guid="{A1637ED3-F38C-4E77-A8BB-011227AA9694}">
      <selection activeCell="B11" sqref="B11"/>
      <pageMargins left="0.7" right="0.7" top="0.75" bottom="0.75" header="0.3" footer="0.3"/>
      <pageSetup paperSize="9" orientation="portrait" verticalDpi="1200" r:id="rId1"/>
    </customSheetView>
    <customSheetView guid="{B578103E-327A-4E76-AD33-0ADD9829657C}">
      <selection activeCell="A5" sqref="A5"/>
      <pageMargins left="0.7" right="0.7" top="0.75" bottom="0.75" header="0.3" footer="0.3"/>
      <pageSetup paperSize="9" orientation="portrait" verticalDpi="1200" r:id="rId2"/>
    </customSheetView>
    <customSheetView guid="{D2E21015-49B6-4DCD-8903-2A33CC51A6BC}">
      <selection activeCell="D21" sqref="D21"/>
      <pageMargins left="0.7" right="0.7" top="0.75" bottom="0.75" header="0.3" footer="0.3"/>
      <pageSetup paperSize="9" orientation="portrait" verticalDpi="0" r:id="rId3"/>
    </customSheetView>
    <customSheetView guid="{D0696375-DBB5-4809-BC60-44F8F56B2779}">
      <selection activeCell="G2" sqref="G2:G3"/>
      <pageMargins left="0.7" right="0.7" top="0.75" bottom="0.75" header="0.3" footer="0.3"/>
      <pageSetup paperSize="9" orientation="portrait" verticalDpi="0" r:id="rId4"/>
    </customSheetView>
    <customSheetView guid="{C5352930-F296-4056-ADED-A54F12C72A5E}">
      <selection activeCell="E25" sqref="E25"/>
      <pageMargins left="0.7" right="0.7" top="0.75" bottom="0.75" header="0.3" footer="0.3"/>
      <pageSetup paperSize="9" orientation="portrait" verticalDpi="0" r:id="rId5"/>
    </customSheetView>
    <customSheetView guid="{7595FEC4-A35A-45A8-ABFF-30CA7F2E3DDB}">
      <selection activeCell="A2" sqref="A2:A3"/>
      <pageMargins left="0.7" right="0.7" top="0.75" bottom="0.75" header="0.3" footer="0.3"/>
      <pageSetup paperSize="9" orientation="portrait" verticalDpi="1200" r:id="rId6"/>
    </customSheetView>
  </customSheetViews>
  <pageMargins left="0.7" right="0.7" top="0.75" bottom="0.75" header="0.3" footer="0.3"/>
  <pageSetup paperSize="9" orientation="portrait" verticalDpi="12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Special Conditions</vt:lpstr>
      <vt:lpstr>Summary</vt:lpstr>
      <vt:lpstr>Others Services</vt:lpstr>
      <vt:lpstr>OLD</vt:lpstr>
      <vt:lpstr>Sep-26</vt:lpstr>
      <vt:lpstr>OCRM Report OP Expiry Report</vt:lpstr>
      <vt:lpstr>OCRM Expiry Report Full</vt:lpstr>
      <vt:lpstr>AUTO bill ON</vt:lpstr>
      <vt:lpstr>Auto bill OFF</vt:lpstr>
      <vt:lpstr>First time Bill</vt:lpstr>
      <vt:lpstr>Reactivation</vt:lpstr>
      <vt:lpstr>Wallet &amp; Due Both</vt:lpstr>
      <vt:lpstr>Is Rental Off</vt:lpstr>
      <vt:lpstr>ADN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Twinkle Sharma</cp:lastModifiedBy>
  <cp:lastPrinted>2018-02-01T08:00:36Z</cp:lastPrinted>
  <dcterms:created xsi:type="dcterms:W3CDTF">2006-09-16T00:00:00Z</dcterms:created>
  <dcterms:modified xsi:type="dcterms:W3CDTF">2026-10-07T10:14:26Z</dcterms:modified>
</cp:coreProperties>
</file>